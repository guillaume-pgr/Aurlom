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parametres" sheetId="2" state="visible" r:id="rId4"/>
    <sheet name="mensuel_groupe" sheetId="3" state="visible" r:id="rId5"/>
    <sheet name="pnl_ltm" sheetId="4" state="visible" r:id="rId6"/>
    <sheet name="tresorerie_13s" sheetId="5" state="visible" r:id="rId7"/>
    <sheet name="covenants" sheetId="6" state="visible" r:id="rId8"/>
    <sheet name="echeances_lbo" sheetId="7" state="visible" r:id="rId9"/>
    <sheet name="inscriptions" sheetId="8" state="visible" r:id="rId10"/>
    <sheet name="filieres_groupe" sheetId="9" state="visible" r:id="rId11"/>
    <sheet name="acquisition" sheetId="10" state="visible" r:id="rId12"/>
    <sheet name="campus" sheetId="11" state="visible" r:id="rId13"/>
    <sheet name="campus_mensuel" sheetId="12" state="visible" r:id="rId14"/>
    <sheet name="campus_pnl" sheetId="13" state="visible" r:id="rId15"/>
    <sheet name="previsionnel" sheetId="14" state="visible" r:id="rId16"/>
    <sheet name="hypotheses" sheetId="15" state="visible" r:id="rId17"/>
    <sheet name="points_cles" sheetId="16" state="visible" r:id="rId18"/>
    <sheet name="controle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<sst xmlns="http://schemas.openxmlformats.org/spreadsheetml/2006/main" count="355" uniqueCount="180">
  <si>
    <t xml:space="preserve">Dashboard Aurlom — fichier source des données (mode réel)</t>
  </si>
  <si>
    <t xml:space="preserve">PRINCIPE</t>
  </si>
  <si>
    <t xml:space="preserve">Ce classeur est l'unique source de données du dashboard. Chaque onglet est une table plate : en-têtes en ligne 1, une ligne = un enregistrement.</t>
  </si>
  <si>
    <t xml:space="preserve">Les valeurs en BLEU sont à saisir/mettre à jour. Les valeurs préremplies sont les données de démonstration : elles montrent le format attendu, remplacez-les par vos chiffres réels.</t>
  </si>
  <si>
    <t xml:space="preserve">RÈGLES (contrat avec le dashboard — à respecter strictement)</t>
  </si>
  <si>
    <t xml:space="preserve">1. Ne jamais renommer les onglets ni les en-têtes de colonnes, ne pas fusionner de cellules, ne pas insérer de colonnes.</t>
  </si>
  <si>
    <t xml:space="preserve">2. Unités : montants en k€ sauf mention M€ dans l'en-tête ; pourcentages en nombre (52 = 52 %) ; charges en NÉGATIF (ex. -6 780).</t>
  </si>
  <si>
    <t xml:space="preserve">3. Dates au format date Excel (affichées mmm-aa). Ne pas saisir de texte dans une colonne de dates ou de nombres.</t>
  </si>
  <si>
    <t xml:space="preserve">4. Une cellule de montant vide dans echeances_lbo = livrable documentaire (badge « doc »).</t>
  </si>
  <si>
    <t xml:space="preserve">5. Le dashboard calcule lui-même : totaux, cumuls, marges, croissances vs N-1, moyenne 12M, remplissage, ratios. Ne saisir que le brut.</t>
  </si>
  <si>
    <t xml:space="preserve">6. L'onglet controles vérifie la cohérence (sommes campus vs groupe, etc.) : tout doit afficher OK avant d'importer le fichier.</t>
  </si>
  <si>
    <t xml:space="preserve">CONTENU</t>
  </si>
  <si>
    <t xml:space="preserve">parametres — exercice et période LTM · mensuel_groupe — 24 mois (N-1 + LTM) de CA/EBITDA réel &amp; budget, trésorerie, emprunts, créances OPCO</t>
  </si>
  <si>
    <t xml:space="preserve">pnl_ltm — P&amp;L LTM par poste (et N-1) · tresorerie_13s — prévision hebdo · covenants / echeances_lbo — suivi LBO</t>
  </si>
  <si>
    <t xml:space="preserve">inscriptions / filieres_groupe / acquisition — étudiants groupe · campus / campus_mensuel / campus_pnl — données par campus</t>
  </si>
  <si>
    <t xml:space="preserve">previsionnel / hypotheses / points_cles — projections 12 mois par scénario · controles — vérifications automatiques</t>
  </si>
  <si>
    <t xml:space="preserve">cle</t>
  </si>
  <si>
    <t xml:space="preserve">valeur</t>
  </si>
  <si>
    <t xml:space="preserve">exercice_libelle</t>
  </si>
  <si>
    <t xml:space="preserve">2025-26</t>
  </si>
  <si>
    <t xml:space="preserve">ltm_debut</t>
  </si>
  <si>
    <t xml:space="preserve">ltm_fin</t>
  </si>
  <si>
    <t xml:space="preserve">date_maj</t>
  </si>
  <si>
    <t xml:space="preserve">mois</t>
  </si>
  <si>
    <t xml:space="preserve">ca_reel_keur</t>
  </si>
  <si>
    <t xml:space="preserve">ca_budget_keur</t>
  </si>
  <si>
    <t xml:space="preserve">ebitda_reel_keur</t>
  </si>
  <si>
    <t xml:space="preserve">ebitda_budget_keur</t>
  </si>
  <si>
    <t xml:space="preserve">tresorerie_brute_meur</t>
  </si>
  <si>
    <t xml:space="preserve">emprunts_meur</t>
  </si>
  <si>
    <t xml:space="preserve">creances_opco_meur</t>
  </si>
  <si>
    <t xml:space="preserve">dso_opco_jours</t>
  </si>
  <si>
    <t xml:space="preserve">poste</t>
  </si>
  <si>
    <t xml:space="preserve">montant_keur</t>
  </si>
  <si>
    <t xml:space="preserve">montant_n1_keur</t>
  </si>
  <si>
    <t xml:space="preserve">ca_alternance_opco</t>
  </si>
  <si>
    <t xml:space="preserve">ca_scolarite_initiale</t>
  </si>
  <si>
    <t xml:space="preserve">ca_stages_prepas</t>
  </si>
  <si>
    <t xml:space="preserve">couts_pedagogiques</t>
  </si>
  <si>
    <t xml:space="preserve">masse_salariale_support</t>
  </si>
  <si>
    <t xml:space="preserve">loyers_campus</t>
  </si>
  <si>
    <t xml:space="preserve">marketing_admissions</t>
  </si>
  <si>
    <t xml:space="preserve">autres_opex</t>
  </si>
  <si>
    <t xml:space="preserve">semaine</t>
  </si>
  <si>
    <t xml:space="preserve">solde_reel_meur</t>
  </si>
  <si>
    <t xml:space="preserve">solde_projete_meur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</si>
  <si>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</si>
  <si>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</si>
  <si>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</si>
  <si>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</si>
  <si>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</si>
  <si>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</si>
  <si>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</si>
  <si>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</si>
  <si>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</si>
  <si>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</si>
  <si>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</si>
  <si>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</si>
  <si>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</si>
  <si>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</si>
  <si>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</si>
  <si>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</si>
  <si>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</si>
  <si>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nom</t>
  </si>
  <si>
    <t xml:space="preserve">seuil</t>
  </si>
  <si>
    <t xml:space="preserve">sens</t>
  </si>
  <si>
    <t xml:space="preserve">Levier net (DN/EBITDA)</t>
  </si>
  <si>
    <t xml:space="preserve">&lt;</t>
  </si>
  <si>
    <t xml:space="preserve">DSCR (CF libre / service dette)</t>
  </si>
  <si>
    <t xml:space="preserve">&gt;</t>
  </si>
  <si>
    <t xml:space="preserve">libelle</t>
  </si>
  <si>
    <t xml:space="preserve">date</t>
  </si>
  <si>
    <t xml:space="preserve">Reporting T2 2026 (J+60)</t>
  </si>
  <si>
    <t xml:space="preserve">Attestation ratios 30/06/2026</t>
  </si>
  <si>
    <t xml:space="preserve">Demande waiver capex</t>
  </si>
  <si>
    <t xml:space="preserve">Service dette T3</t>
  </si>
  <si>
    <t xml:space="preserve">rentree_n</t>
  </si>
  <si>
    <t xml:space="preserve">rentree_n1</t>
  </si>
  <si>
    <t xml:space="preserve">filiere</t>
  </si>
  <si>
    <t xml:space="preserve">etudiants</t>
  </si>
  <si>
    <t xml:space="preserve">BTS MCO</t>
  </si>
  <si>
    <t xml:space="preserve">BTS NDRC</t>
  </si>
  <si>
    <t xml:space="preserve">BTS CG</t>
  </si>
  <si>
    <t xml:space="preserve">BTS CI</t>
  </si>
  <si>
    <t xml:space="preserve">BTS PI</t>
  </si>
  <si>
    <t xml:space="preserve">Autres BTS</t>
  </si>
  <si>
    <t xml:space="preserve">Bachelors</t>
  </si>
  <si>
    <t xml:space="preserve">Prépas</t>
  </si>
  <si>
    <t xml:space="preserve">indicateur</t>
  </si>
  <si>
    <t xml:space="preserve">variation_n1</t>
  </si>
  <si>
    <t xml:space="preserve">Leads qualifiés</t>
  </si>
  <si>
    <t xml:space="preserve">11 240</t>
  </si>
  <si>
    <t xml:space="preserve">+8 %</t>
  </si>
  <si>
    <t xml:space="preserve">Taux de conversion</t>
  </si>
  <si>
    <t xml:space="preserve">14,2 %</t>
  </si>
  <si>
    <t xml:space="preserve">+1,1 pt</t>
  </si>
  <si>
    <t xml:space="preserve">CAC moyen</t>
  </si>
  <si>
    <t xml:space="preserve">132 €</t>
  </si>
  <si>
    <t xml:space="preserve">+11 €</t>
  </si>
  <si>
    <t xml:space="preserve">CA moyen / étudiant</t>
  </si>
  <si>
    <t xml:space="preserve">6 550 €</t>
  </si>
  <si>
    <t xml:space="preserve">+2,6 %</t>
  </si>
  <si>
    <t xml:space="preserve">CA / CAC par étudiant</t>
  </si>
  <si>
    <t xml:space="preserve">49,6×</t>
  </si>
  <si>
    <t xml:space="preserve">+1,2×</t>
  </si>
  <si>
    <t xml:space="preserve">campus_id</t>
  </si>
  <si>
    <t xml:space="preserve">adresse</t>
  </si>
  <si>
    <t xml:space="preserve">capacite</t>
  </si>
  <si>
    <t xml:space="preserve">pct_alternance</t>
  </si>
  <si>
    <t xml:space="preserve">reussite_bts_pct</t>
  </si>
  <si>
    <t xml:space="preserve">effectif_moyen_classe</t>
  </si>
  <si>
    <t xml:space="preserve">attrition_pct</t>
  </si>
  <si>
    <t xml:space="preserve">nps</t>
  </si>
  <si>
    <t xml:space="preserve">cout_prof_keur</t>
  </si>
  <si>
    <t xml:space="preserve">loyer_annuel_keur</t>
  </si>
  <si>
    <t xml:space="preserve">surface_m2</t>
  </si>
  <si>
    <t xml:space="preserve">roquette</t>
  </si>
  <si>
    <t xml:space="preserve">Paris — Roquette</t>
  </si>
  <si>
    <t xml:space="preserve">48 rue de la Roquette, 75011</t>
  </si>
  <si>
    <t xml:space="preserve">parmentier</t>
  </si>
  <si>
    <t xml:space="preserve">Paris — Parmentier</t>
  </si>
  <si>
    <t xml:space="preserve">16 avenue Parmentier, 75011</t>
  </si>
  <si>
    <t xml:space="preserve">sentier</t>
  </si>
  <si>
    <t xml:space="preserve">Paris — Sentier</t>
  </si>
  <si>
    <t xml:space="preserve">quartier Sentier, 75002</t>
  </si>
  <si>
    <t xml:space="preserve">jaures</t>
  </si>
  <si>
    <t xml:space="preserve">Paris — Jaurès</t>
  </si>
  <si>
    <t xml:space="preserve">118 avenue Jean-Jaurès, 75019</t>
  </si>
  <si>
    <t xml:space="preserve">belair</t>
  </si>
  <si>
    <t xml:space="preserve">Paris — Bel-Air</t>
  </si>
  <si>
    <t xml:space="preserve">quartier Bel-Air, 75012</t>
  </si>
  <si>
    <t xml:space="preserve">boulogne</t>
  </si>
  <si>
    <t xml:space="preserve">Boulogne</t>
  </si>
  <si>
    <t xml:space="preserve">59 rue de Billancourt, 92100</t>
  </si>
  <si>
    <t xml:space="preserve">lille</t>
  </si>
  <si>
    <t xml:space="preserve">Lille</t>
  </si>
  <si>
    <t xml:space="preserve">centre-ville, Lille</t>
  </si>
  <si>
    <t xml:space="preserve">nice</t>
  </si>
  <si>
    <t xml:space="preserve">Nice</t>
  </si>
  <si>
    <t xml:space="preserve">ICONIC, gare de Nice</t>
  </si>
  <si>
    <t xml:space="preserve">ca_keur</t>
  </si>
  <si>
    <t xml:space="preserve">ca_alternance</t>
  </si>
  <si>
    <t xml:space="preserve">ca_initiale</t>
  </si>
  <si>
    <t xml:space="preserve">loyers</t>
  </si>
  <si>
    <t xml:space="preserve">scenario</t>
  </si>
  <si>
    <t xml:space="preserve">ebitda_keur</t>
  </si>
  <si>
    <t xml:space="preserve">tresorerie_meur</t>
  </si>
  <si>
    <t xml:space="preserve">base</t>
  </si>
  <si>
    <t xml:space="preserve">bas</t>
  </si>
  <si>
    <t xml:space="preserve">haut</t>
  </si>
  <si>
    <t xml:space="preserve">ordre</t>
  </si>
  <si>
    <t xml:space="preserve">texte</t>
  </si>
  <si>
    <t xml:space="preserve">Rentrée sept. 2026 : 2 990 étudiants (+6 %)</t>
  </si>
  <si>
    <t xml:space="preserve">NPEC stables</t>
  </si>
  <si>
    <t xml:space="preserve">Tarifs initiale : +2 %</t>
  </si>
  <si>
    <t xml:space="preserve">Attrition : 4,8 %</t>
  </si>
  <si>
    <t xml:space="preserve">Ouverture campus : 1</t>
  </si>
  <si>
    <t xml:space="preserve">Rentrée sept. 2026 : 2 690 étudiants (−10 % vs base)</t>
  </si>
  <si>
    <t xml:space="preserve">Tarifs inchangés</t>
  </si>
  <si>
    <t xml:space="preserve">Attrition : 5,5 %</t>
  </si>
  <si>
    <t xml:space="preserve">Ouverture campus : 1 (décalée à janv. 27)</t>
  </si>
  <si>
    <t xml:space="preserve">Rentrée sept. 2026 : 3 290 étudiants (+10 % vs base)</t>
  </si>
  <si>
    <t xml:space="preserve">Attrition : 4,4 %</t>
  </si>
  <si>
    <t xml:space="preserve">numero</t>
  </si>
  <si>
    <t xml:space="preserve">Service de la dette (annuité) : (1,5) M€ — creux d'août 26</t>
  </si>
  <si>
    <t xml:space="preserve">Encaissements rentrée (scolarité + acomptes) — pic sept.-oct. 26</t>
  </si>
  <si>
    <t xml:space="preserve">Liquidation IS : (0,6) M€ — creux de nov. 26</t>
  </si>
  <si>
    <t xml:space="preserve">Premiers versements NPEC rentrée — janv.-févr. 27</t>
  </si>
  <si>
    <t xml:space="preserve">controle</t>
  </si>
  <si>
    <t xml:space="preserve">valeur_a</t>
  </si>
  <si>
    <t xml:space="preserve">valeur_b</t>
  </si>
  <si>
    <t xml:space="preserve">ecart</t>
  </si>
  <si>
    <t xml:space="preserve">statut</t>
  </si>
  <si>
    <t xml:space="preserve">CA groupe LTM : mensuel vs P&amp;L</t>
  </si>
  <si>
    <t xml:space="preserve">CA groupe LTM : mensuel vs somme campus</t>
  </si>
  <si>
    <t xml:space="preserve">EBITDA groupe LTM : mensuel vs P&amp;L</t>
  </si>
  <si>
    <t xml:space="preserve">EBITDA groupe LTM : mensuel vs somme campus</t>
  </si>
  <si>
    <t xml:space="preserve">Étudiants : somme campus vs somme filières</t>
  </si>
  <si>
    <t xml:space="preserve">CA campus : référentiel vs somme campus_mensuel</t>
  </si>
  <si>
    <t xml:space="preserve">Tous les statuts doivent être OK (tolérance d'arrondi : 1 k€) avant import dans le dashboard.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</si>
</sst>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\-yy"/>
    <numFmt numFmtId="166" formatCode="dd/mm/yyyy"/>
    <numFmt numFmtId="167" formatCode="#,##0;\(#,##0\);\-"/>
    <numFmt numFmtId="168" formatCode="0.00;\(0.00\);\-"/>
    <numFmt numFmtId="169" formatCode="0"/>
    <numFmt numFmtId="170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5B2D8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6E68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B2D8E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6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9E6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880"/>
      <rgbColor rgb="FF969696"/>
      <rgbColor rgb="FF003366"/>
      <rgbColor rgb="FF339966"/>
      <rgbColor rgb="FF003300"/>
      <rgbColor rgb="FF333300"/>
      <rgbColor rgb="FF993300"/>
      <rgbColor rgb="FF993366"/>
      <rgbColor rgb="FF5B2D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</cols>
  <sheetData>
    <row r="1" customFormat="false" ht="15" hidden="false" customHeight="false" outlineLevel="0" collapsed="false">
      <c r="A1" s="5" t="s">
        <v>16</v>
      </c>
      <c r="B1" s="5" t="s">
        <v>17</v>
      </c>
    </row>
    <row r="2" customFormat="false" ht="15" hidden="false" customHeight="false" outlineLevel="0" collapsed="false">
      <c r="A2" s="6" t="s">
        <v>18</v>
      </c>
      <c r="B2" s="6" t="s">
        <v>19</v>
      </c>
    </row>
    <row r="3" customFormat="false" ht="15" hidden="false" customHeight="false" outlineLevel="0" collapsed="false">
      <c r="A3" s="6" t="s">
        <v>20</v>
      </c>
      <c r="B3" s="7" t="n">
        <v>45839</v>
      </c>
    </row>
    <row r="4" customFormat="false" ht="15" hidden="false" customHeight="false" outlineLevel="0" collapsed="false">
      <c r="A4" s="6" t="s">
        <v>21</v>
      </c>
      <c r="B4" s="7" t="n">
        <v>46174</v>
      </c>
    </row>
    <row r="5" customFormat="false" ht="15" hidden="false" customHeight="false" outlineLevel="0" collapsed="false">
      <c r="A5" s="6" t="s">
        <v>22</v>
      </c>
      <c r="B5" s="8" t="n">
        <v>46205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9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</row>
    <row r="2" customFormat="false" ht="15" hidden="false" customHeight="false" outlineLevel="0" collapsed="false">
      <c r="A2" s="7" t="n">
        <v>45474</v>
      </c>
      <c r="B2" s="9" t="n">
        <v>714</v>
      </c>
      <c r="C2" s="9" t="n">
        <v>703</v>
      </c>
      <c r="D2" s="9" t="n">
        <v>-141</v>
      </c>
      <c r="E2" s="9" t="n">
        <v>-137</v>
      </c>
      <c r="F2" s="10" t="n">
        <v>1.65</v>
      </c>
      <c r="G2" s="10" t="n">
        <v>9.6</v>
      </c>
      <c r="H2" s="10" t="n">
        <v>1.3</v>
      </c>
      <c r="I2" s="11" t="n">
        <v>61</v>
      </c>
    </row>
    <row r="3" customFormat="false" ht="15" hidden="false" customHeight="false" outlineLevel="0" collapsed="false">
      <c r="A3" s="7" t="n">
        <v>45505</v>
      </c>
      <c r="B3" s="9" t="n">
        <v>540</v>
      </c>
      <c r="C3" s="9" t="n">
        <v>532</v>
      </c>
      <c r="D3" s="9" t="n">
        <v>-247</v>
      </c>
      <c r="E3" s="9" t="n">
        <v>-240</v>
      </c>
      <c r="F3" s="10" t="n">
        <v>1.5</v>
      </c>
      <c r="G3" s="10" t="n">
        <v>9.6</v>
      </c>
      <c r="H3" s="10" t="n">
        <v>1.28</v>
      </c>
      <c r="I3" s="11" t="n">
        <v>61</v>
      </c>
    </row>
    <row r="4" customFormat="false" ht="15" hidden="false" customHeight="false" outlineLevel="0" collapsed="false">
      <c r="A4" s="7" t="n">
        <v>45536</v>
      </c>
      <c r="B4" s="9" t="n">
        <v>2244</v>
      </c>
      <c r="C4" s="9" t="n">
        <v>2210</v>
      </c>
      <c r="D4" s="9" t="n">
        <v>687</v>
      </c>
      <c r="E4" s="9" t="n">
        <v>666</v>
      </c>
      <c r="F4" s="10" t="n">
        <v>1.9</v>
      </c>
      <c r="G4" s="10" t="n">
        <v>9.6</v>
      </c>
      <c r="H4" s="10" t="n">
        <v>1.45</v>
      </c>
      <c r="I4" s="11" t="n">
        <v>63</v>
      </c>
    </row>
    <row r="5" customFormat="false" ht="15" hidden="false" customHeight="false" outlineLevel="0" collapsed="false">
      <c r="A5" s="7" t="n">
        <v>45566</v>
      </c>
      <c r="B5" s="9" t="n">
        <v>2024</v>
      </c>
      <c r="C5" s="9" t="n">
        <v>1994</v>
      </c>
      <c r="D5" s="9" t="n">
        <v>493</v>
      </c>
      <c r="E5" s="9" t="n">
        <v>478</v>
      </c>
      <c r="F5" s="10" t="n">
        <v>2.1</v>
      </c>
      <c r="G5" s="10" t="n">
        <v>9.55</v>
      </c>
      <c r="H5" s="10" t="n">
        <v>1.55</v>
      </c>
      <c r="I5" s="11" t="n">
        <v>64</v>
      </c>
    </row>
    <row r="6" customFormat="false" ht="15" hidden="false" customHeight="false" outlineLevel="0" collapsed="false">
      <c r="A6" s="7" t="n">
        <v>45597</v>
      </c>
      <c r="B6" s="9" t="n">
        <v>1447</v>
      </c>
      <c r="C6" s="9" t="n">
        <v>1425</v>
      </c>
      <c r="D6" s="9" t="n">
        <v>211</v>
      </c>
      <c r="E6" s="9" t="n">
        <v>205</v>
      </c>
      <c r="F6" s="10" t="n">
        <v>1.85</v>
      </c>
      <c r="G6" s="10" t="n">
        <v>9.55</v>
      </c>
      <c r="H6" s="10" t="n">
        <v>1.6</v>
      </c>
      <c r="I6" s="11" t="n">
        <v>65</v>
      </c>
    </row>
    <row r="7" customFormat="false" ht="15" hidden="false" customHeight="false" outlineLevel="0" collapsed="false">
      <c r="A7" s="7" t="n">
        <v>45627</v>
      </c>
      <c r="B7" s="9" t="n">
        <v>1364</v>
      </c>
      <c r="C7" s="9" t="n">
        <v>1344</v>
      </c>
      <c r="D7" s="9" t="n">
        <v>167</v>
      </c>
      <c r="E7" s="9" t="n">
        <v>162</v>
      </c>
      <c r="F7" s="10" t="n">
        <v>1.9</v>
      </c>
      <c r="G7" s="10" t="n">
        <v>9.55</v>
      </c>
      <c r="H7" s="10" t="n">
        <v>1.55</v>
      </c>
      <c r="I7" s="11" t="n">
        <v>65</v>
      </c>
    </row>
    <row r="8" customFormat="false" ht="15" hidden="false" customHeight="false" outlineLevel="0" collapsed="false">
      <c r="A8" s="7" t="n">
        <v>45658</v>
      </c>
      <c r="B8" s="9" t="n">
        <v>1813</v>
      </c>
      <c r="C8" s="9" t="n">
        <v>1786</v>
      </c>
      <c r="D8" s="9" t="n">
        <v>370</v>
      </c>
      <c r="E8" s="9" t="n">
        <v>359</v>
      </c>
      <c r="F8" s="10" t="n">
        <v>2.05</v>
      </c>
      <c r="G8" s="10" t="n">
        <v>9.45</v>
      </c>
      <c r="H8" s="10" t="n">
        <v>1.5</v>
      </c>
      <c r="I8" s="11" t="n">
        <v>64</v>
      </c>
    </row>
    <row r="9" customFormat="false" ht="15" hidden="false" customHeight="false" outlineLevel="0" collapsed="false">
      <c r="A9" s="7" t="n">
        <v>45689</v>
      </c>
      <c r="B9" s="9" t="n">
        <v>1612</v>
      </c>
      <c r="C9" s="9" t="n">
        <v>1588</v>
      </c>
      <c r="D9" s="9" t="n">
        <v>273</v>
      </c>
      <c r="E9" s="9" t="n">
        <v>265</v>
      </c>
      <c r="F9" s="10" t="n">
        <v>1.95</v>
      </c>
      <c r="G9" s="10" t="n">
        <v>9.45</v>
      </c>
      <c r="H9" s="10" t="n">
        <v>1.52</v>
      </c>
      <c r="I9" s="11" t="n">
        <v>64</v>
      </c>
    </row>
    <row r="10" customFormat="false" ht="15" hidden="false" customHeight="false" outlineLevel="0" collapsed="false">
      <c r="A10" s="7" t="n">
        <v>45717</v>
      </c>
      <c r="B10" s="9" t="n">
        <v>1548</v>
      </c>
      <c r="C10" s="9" t="n">
        <v>1525</v>
      </c>
      <c r="D10" s="9" t="n">
        <v>247</v>
      </c>
      <c r="E10" s="9" t="n">
        <v>240</v>
      </c>
      <c r="F10" s="10" t="n">
        <v>1.9</v>
      </c>
      <c r="G10" s="10" t="n">
        <v>9.45</v>
      </c>
      <c r="H10" s="10" t="n">
        <v>1.55</v>
      </c>
      <c r="I10" s="11" t="n">
        <v>65</v>
      </c>
    </row>
    <row r="11" customFormat="false" ht="15" hidden="false" customHeight="false" outlineLevel="0" collapsed="false">
      <c r="A11" s="7" t="n">
        <v>45748</v>
      </c>
      <c r="B11" s="9" t="n">
        <v>1575</v>
      </c>
      <c r="C11" s="9" t="n">
        <v>1551</v>
      </c>
      <c r="D11" s="9" t="n">
        <v>264</v>
      </c>
      <c r="E11" s="9" t="n">
        <v>256</v>
      </c>
      <c r="F11" s="10" t="n">
        <v>1.85</v>
      </c>
      <c r="G11" s="10" t="n">
        <v>9.3</v>
      </c>
      <c r="H11" s="10" t="n">
        <v>1.58</v>
      </c>
      <c r="I11" s="11" t="n">
        <v>65</v>
      </c>
    </row>
    <row r="12" customFormat="false" ht="15" hidden="false" customHeight="false" outlineLevel="0" collapsed="false">
      <c r="A12" s="7" t="n">
        <v>45778</v>
      </c>
      <c r="B12" s="9" t="n">
        <v>1676</v>
      </c>
      <c r="C12" s="9" t="n">
        <v>1651</v>
      </c>
      <c r="D12" s="9" t="n">
        <v>300</v>
      </c>
      <c r="E12" s="9" t="n">
        <v>291</v>
      </c>
      <c r="F12" s="10" t="n">
        <v>2</v>
      </c>
      <c r="G12" s="10" t="n">
        <v>9.3</v>
      </c>
      <c r="H12" s="10" t="n">
        <v>1.58</v>
      </c>
      <c r="I12" s="11" t="n">
        <v>65</v>
      </c>
    </row>
    <row r="13" customFormat="false" ht="15" hidden="false" customHeight="false" outlineLevel="0" collapsed="false">
      <c r="A13" s="7" t="n">
        <v>45809</v>
      </c>
      <c r="B13" s="9" t="n">
        <v>1566</v>
      </c>
      <c r="C13" s="9" t="n">
        <v>1543</v>
      </c>
      <c r="D13" s="9" t="n">
        <v>256</v>
      </c>
      <c r="E13" s="9" t="n">
        <v>248</v>
      </c>
      <c r="F13" s="10" t="n">
        <v>2.15</v>
      </c>
      <c r="G13" s="10" t="n">
        <v>9.3</v>
      </c>
      <c r="H13" s="10" t="n">
        <v>1.6</v>
      </c>
      <c r="I13" s="11" t="n">
        <v>65</v>
      </c>
    </row>
    <row r="14" customFormat="false" ht="15" hidden="false" customHeight="false" outlineLevel="0" collapsed="false">
      <c r="A14" s="7" t="n">
        <v>45839</v>
      </c>
      <c r="B14" s="9" t="n">
        <v>780</v>
      </c>
      <c r="C14" s="9" t="n">
        <v>767</v>
      </c>
      <c r="D14" s="9" t="n">
        <v>-160</v>
      </c>
      <c r="E14" s="9" t="n">
        <v>-154</v>
      </c>
      <c r="F14" s="10" t="n">
        <v>1.9</v>
      </c>
      <c r="G14" s="10" t="n">
        <v>9.3</v>
      </c>
      <c r="H14" s="10" t="n">
        <v>1.55</v>
      </c>
      <c r="I14" s="11" t="n">
        <v>65</v>
      </c>
    </row>
    <row r="15" customFormat="false" ht="15" hidden="false" customHeight="false" outlineLevel="0" collapsed="false">
      <c r="A15" s="7" t="n">
        <v>45870</v>
      </c>
      <c r="B15" s="9" t="n">
        <v>590</v>
      </c>
      <c r="C15" s="9" t="n">
        <v>580</v>
      </c>
      <c r="D15" s="9" t="n">
        <v>-280</v>
      </c>
      <c r="E15" s="9" t="n">
        <v>-270</v>
      </c>
      <c r="F15" s="10" t="n">
        <v>1.7</v>
      </c>
      <c r="G15" s="10" t="n">
        <v>9.3</v>
      </c>
      <c r="H15" s="10" t="n">
        <v>1.5</v>
      </c>
      <c r="I15" s="11" t="n">
        <v>64</v>
      </c>
    </row>
    <row r="16" customFormat="false" ht="15" hidden="false" customHeight="false" outlineLevel="0" collapsed="false">
      <c r="A16" s="7" t="n">
        <v>45901</v>
      </c>
      <c r="B16" s="9" t="n">
        <v>2450</v>
      </c>
      <c r="C16" s="9" t="n">
        <v>2408</v>
      </c>
      <c r="D16" s="9" t="n">
        <v>780</v>
      </c>
      <c r="E16" s="9" t="n">
        <v>751</v>
      </c>
      <c r="F16" s="10" t="n">
        <v>2.2</v>
      </c>
      <c r="G16" s="10" t="n">
        <v>9.05</v>
      </c>
      <c r="H16" s="10" t="n">
        <v>1.7</v>
      </c>
      <c r="I16" s="11" t="n">
        <v>68</v>
      </c>
    </row>
    <row r="17" customFormat="false" ht="15" hidden="false" customHeight="false" outlineLevel="0" collapsed="false">
      <c r="A17" s="7" t="n">
        <v>45931</v>
      </c>
      <c r="B17" s="9" t="n">
        <v>2210</v>
      </c>
      <c r="C17" s="9" t="n">
        <v>2172</v>
      </c>
      <c r="D17" s="9" t="n">
        <v>560</v>
      </c>
      <c r="E17" s="9" t="n">
        <v>539</v>
      </c>
      <c r="F17" s="10" t="n">
        <v>2.5</v>
      </c>
      <c r="G17" s="10" t="n">
        <v>9.05</v>
      </c>
      <c r="H17" s="10" t="n">
        <v>1.85</v>
      </c>
      <c r="I17" s="11" t="n">
        <v>70</v>
      </c>
    </row>
    <row r="18" customFormat="false" ht="15" hidden="false" customHeight="false" outlineLevel="0" collapsed="false">
      <c r="A18" s="7" t="n">
        <v>45962</v>
      </c>
      <c r="B18" s="9" t="n">
        <v>1580</v>
      </c>
      <c r="C18" s="9" t="n">
        <v>1553</v>
      </c>
      <c r="D18" s="9" t="n">
        <v>240</v>
      </c>
      <c r="E18" s="9" t="n">
        <v>231</v>
      </c>
      <c r="F18" s="10" t="n">
        <v>2.1</v>
      </c>
      <c r="G18" s="10" t="n">
        <v>9.05</v>
      </c>
      <c r="H18" s="10" t="n">
        <v>1.9</v>
      </c>
      <c r="I18" s="11" t="n">
        <v>72</v>
      </c>
    </row>
    <row r="19" customFormat="false" ht="15" hidden="false" customHeight="false" outlineLevel="0" collapsed="false">
      <c r="A19" s="7" t="n">
        <v>45992</v>
      </c>
      <c r="B19" s="9" t="n">
        <v>1490</v>
      </c>
      <c r="C19" s="9" t="n">
        <v>1464</v>
      </c>
      <c r="D19" s="9" t="n">
        <v>190</v>
      </c>
      <c r="E19" s="9" t="n">
        <v>183</v>
      </c>
      <c r="F19" s="10" t="n">
        <v>2.2</v>
      </c>
      <c r="G19" s="10" t="n">
        <v>8.8</v>
      </c>
      <c r="H19" s="10" t="n">
        <v>1.8</v>
      </c>
      <c r="I19" s="11" t="n">
        <v>71</v>
      </c>
    </row>
    <row r="20" customFormat="false" ht="15" hidden="false" customHeight="false" outlineLevel="0" collapsed="false">
      <c r="A20" s="7" t="n">
        <v>46023</v>
      </c>
      <c r="B20" s="9" t="n">
        <v>1980</v>
      </c>
      <c r="C20" s="9" t="n">
        <v>1946</v>
      </c>
      <c r="D20" s="9" t="n">
        <v>420</v>
      </c>
      <c r="E20" s="9" t="n">
        <v>405</v>
      </c>
      <c r="F20" s="10" t="n">
        <v>2.4</v>
      </c>
      <c r="G20" s="10" t="n">
        <v>8.8</v>
      </c>
      <c r="H20" s="10" t="n">
        <v>1.75</v>
      </c>
      <c r="I20" s="11" t="n">
        <v>70</v>
      </c>
    </row>
    <row r="21" customFormat="false" ht="15" hidden="false" customHeight="false" outlineLevel="0" collapsed="false">
      <c r="A21" s="7" t="n">
        <v>46054</v>
      </c>
      <c r="B21" s="9" t="n">
        <v>1760</v>
      </c>
      <c r="C21" s="9" t="n">
        <v>1730</v>
      </c>
      <c r="D21" s="9" t="n">
        <v>310</v>
      </c>
      <c r="E21" s="9" t="n">
        <v>299</v>
      </c>
      <c r="F21" s="10" t="n">
        <v>2.15</v>
      </c>
      <c r="G21" s="10" t="n">
        <v>8.8</v>
      </c>
      <c r="H21" s="10" t="n">
        <v>1.8</v>
      </c>
      <c r="I21" s="11" t="n">
        <v>71</v>
      </c>
    </row>
    <row r="22" customFormat="false" ht="15" hidden="false" customHeight="false" outlineLevel="0" collapsed="false">
      <c r="A22" s="7" t="n">
        <v>46082</v>
      </c>
      <c r="B22" s="9" t="n">
        <v>1690</v>
      </c>
      <c r="C22" s="9" t="n">
        <v>1661</v>
      </c>
      <c r="D22" s="9" t="n">
        <v>280</v>
      </c>
      <c r="E22" s="9" t="n">
        <v>270</v>
      </c>
      <c r="F22" s="10" t="n">
        <v>2.05</v>
      </c>
      <c r="G22" s="10" t="n">
        <v>8.65</v>
      </c>
      <c r="H22" s="10" t="n">
        <v>1.85</v>
      </c>
      <c r="I22" s="11" t="n">
        <v>72</v>
      </c>
    </row>
    <row r="23" customFormat="false" ht="15" hidden="false" customHeight="false" outlineLevel="0" collapsed="false">
      <c r="A23" s="7" t="n">
        <v>46113</v>
      </c>
      <c r="B23" s="9" t="n">
        <v>1720</v>
      </c>
      <c r="C23" s="9" t="n">
        <v>1690</v>
      </c>
      <c r="D23" s="9" t="n">
        <v>300</v>
      </c>
      <c r="E23" s="9" t="n">
        <v>289</v>
      </c>
      <c r="F23" s="10" t="n">
        <v>2</v>
      </c>
      <c r="G23" s="10" t="n">
        <v>8.65</v>
      </c>
      <c r="H23" s="10" t="n">
        <v>1.9</v>
      </c>
      <c r="I23" s="11" t="n">
        <v>73</v>
      </c>
    </row>
    <row r="24" customFormat="false" ht="15" hidden="false" customHeight="false" outlineLevel="0" collapsed="false">
      <c r="A24" s="7" t="n">
        <v>46143</v>
      </c>
      <c r="B24" s="9" t="n">
        <v>1830</v>
      </c>
      <c r="C24" s="9" t="n">
        <v>1799</v>
      </c>
      <c r="D24" s="9" t="n">
        <v>340</v>
      </c>
      <c r="E24" s="9" t="n">
        <v>328</v>
      </c>
      <c r="F24" s="10" t="n">
        <v>2.25</v>
      </c>
      <c r="G24" s="10" t="n">
        <v>8.65</v>
      </c>
      <c r="H24" s="10" t="n">
        <v>1.88</v>
      </c>
      <c r="I24" s="11" t="n">
        <v>73</v>
      </c>
    </row>
    <row r="25" customFormat="false" ht="15" hidden="false" customHeight="false" outlineLevel="0" collapsed="false">
      <c r="A25" s="7" t="n">
        <v>46174</v>
      </c>
      <c r="B25" s="9" t="n">
        <v>1710</v>
      </c>
      <c r="C25" s="9" t="n">
        <v>1680</v>
      </c>
      <c r="D25" s="9" t="n">
        <v>290</v>
      </c>
      <c r="E25" s="9" t="n">
        <v>279</v>
      </c>
      <c r="F25" s="10" t="n">
        <v>2.45</v>
      </c>
      <c r="G25" s="10" t="n">
        <v>8.4</v>
      </c>
      <c r="H25" s="10" t="n">
        <v>1.92</v>
      </c>
      <c r="I25" s="11" t="n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5" t="s">
        <v>32</v>
      </c>
      <c r="B1" s="5" t="s">
        <v>33</v>
      </c>
      <c r="C1" s="5" t="s">
        <v>34</v>
      </c>
    </row>
    <row r="2" customFormat="false" ht="15" hidden="false" customHeight="false" outlineLevel="0" collapsed="false">
      <c r="A2" s="6" t="s">
        <v>35</v>
      </c>
      <c r="B2" s="9" t="n">
        <v>10610</v>
      </c>
      <c r="C2" s="9" t="n">
        <v>9465</v>
      </c>
    </row>
    <row r="3" customFormat="false" ht="15" hidden="false" customHeight="false" outlineLevel="0" collapsed="false">
      <c r="A3" s="6" t="s">
        <v>36</v>
      </c>
      <c r="B3" s="9" t="n">
        <v>7450</v>
      </c>
      <c r="C3" s="9" t="n">
        <v>7042</v>
      </c>
    </row>
    <row r="4" customFormat="false" ht="15" hidden="false" customHeight="false" outlineLevel="0" collapsed="false">
      <c r="A4" s="6" t="s">
        <v>37</v>
      </c>
      <c r="B4" s="9" t="n">
        <v>1730</v>
      </c>
      <c r="C4" s="9" t="n">
        <v>1673</v>
      </c>
    </row>
    <row r="5" customFormat="false" ht="15" hidden="false" customHeight="false" outlineLevel="0" collapsed="false">
      <c r="A5" s="6" t="s">
        <v>38</v>
      </c>
      <c r="B5" s="9" t="n">
        <v>-6780</v>
      </c>
      <c r="C5" s="9" t="n">
        <v>-6141</v>
      </c>
    </row>
    <row r="6" customFormat="false" ht="15" hidden="false" customHeight="false" outlineLevel="0" collapsed="false">
      <c r="A6" s="6" t="s">
        <v>39</v>
      </c>
      <c r="B6" s="9" t="n">
        <v>-4320</v>
      </c>
      <c r="C6" s="9" t="n">
        <v>-4072</v>
      </c>
    </row>
    <row r="7" customFormat="false" ht="15" hidden="false" customHeight="false" outlineLevel="0" collapsed="false">
      <c r="A7" s="6" t="s">
        <v>40</v>
      </c>
      <c r="B7" s="9" t="n">
        <v>-2810</v>
      </c>
      <c r="C7" s="9" t="n">
        <v>-2731</v>
      </c>
    </row>
    <row r="8" customFormat="false" ht="15" hidden="false" customHeight="false" outlineLevel="0" collapsed="false">
      <c r="A8" s="6" t="s">
        <v>41</v>
      </c>
      <c r="B8" s="9" t="n">
        <v>-1590</v>
      </c>
      <c r="C8" s="9" t="n">
        <v>-1345</v>
      </c>
    </row>
    <row r="9" customFormat="false" ht="15" hidden="false" customHeight="false" outlineLevel="0" collapsed="false">
      <c r="A9" s="6" t="s">
        <v>42</v>
      </c>
      <c r="B9" s="9" t="n">
        <v>-1020</v>
      </c>
      <c r="C9" s="9" t="n">
        <v>-981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7"/>
  </cols>
  <sheetData>
    <row r="1" customFormat="false" ht="15" hidden="false" customHeight="false" outlineLevel="0" collapsed="false">
      <c r="A1" s="5" t="s">
        <v>43</v>
      </c>
      <c r="B1" s="5" t="s">
        <v>44</v>
      </c>
      <c r="C1" s="5" t="s">
        <v>45</v>
      </c>
    </row>
    <row r="2" customFormat="false" ht="15" hidden="false" customHeight="false" outlineLevel="0" collapsed="false">
      <c r="A2" s="6" t="s">
        <v>46</v>
      </c>
      <c r="B2" s="10" t="n">
        <v>2.18</v>
      </c>
      <c r="C2" s="10"/>
    </row>
    <row r="3" customFormat="false" ht="15" hidden="false" customHeight="false" outlineLevel="0" collapsed="false">
      <c r="A3" s="6" t="s">
        <v>47</v>
      </c>
      <c r="B3" s="10" t="n">
        <v>2.31</v>
      </c>
      <c r="C3" s="10"/>
    </row>
    <row r="4" customFormat="false" ht="15" hidden="false" customHeight="false" outlineLevel="0" collapsed="false">
      <c r="A4" s="6" t="s">
        <v>48</v>
      </c>
      <c r="B4" s="10" t="n">
        <v>2.24</v>
      </c>
      <c r="C4" s="10"/>
    </row>
    <row r="5" customFormat="false" ht="15" hidden="false" customHeight="false" outlineLevel="0" collapsed="false">
      <c r="A5" s="6" t="s">
        <v>49</v>
      </c>
      <c r="B5" s="10" t="n">
        <v>2.45</v>
      </c>
      <c r="C5" s="10" t="n">
        <v>2.45</v>
      </c>
    </row>
    <row r="6" customFormat="false" ht="15" hidden="false" customHeight="false" outlineLevel="0" collapsed="false">
      <c r="A6" s="6" t="s">
        <v>50</v>
      </c>
      <c r="B6" s="10"/>
      <c r="C6" s="10" t="n">
        <v>2.38</v>
      </c>
    </row>
    <row r="7" customFormat="false" ht="15" hidden="false" customHeight="false" outlineLevel="0" collapsed="false">
      <c r="A7" s="6" t="s">
        <v>51</v>
      </c>
      <c r="B7" s="10"/>
      <c r="C7" s="10" t="n">
        <v>2.12</v>
      </c>
    </row>
    <row r="8" customFormat="false" ht="15" hidden="false" customHeight="false" outlineLevel="0" collapsed="false">
      <c r="A8" s="6" t="s">
        <v>52</v>
      </c>
      <c r="B8" s="10"/>
      <c r="C8" s="10" t="n">
        <v>1.86</v>
      </c>
    </row>
    <row r="9" customFormat="false" ht="15" hidden="false" customHeight="false" outlineLevel="0" collapsed="false">
      <c r="A9" s="6" t="s">
        <v>53</v>
      </c>
      <c r="B9" s="10"/>
      <c r="C9" s="10" t="n">
        <v>1.94</v>
      </c>
    </row>
    <row r="10" customFormat="false" ht="15" hidden="false" customHeight="false" outlineLevel="0" collapsed="false">
      <c r="A10" s="6" t="s">
        <v>54</v>
      </c>
      <c r="B10" s="10"/>
      <c r="C10" s="10" t="n">
        <v>1.71</v>
      </c>
    </row>
    <row r="11" customFormat="false" ht="15" hidden="false" customHeight="false" outlineLevel="0" collapsed="false">
      <c r="A11" s="6" t="s">
        <v>55</v>
      </c>
      <c r="B11" s="10"/>
      <c r="C11" s="10" t="n">
        <v>1.52</v>
      </c>
    </row>
    <row r="12" customFormat="false" ht="15" hidden="false" customHeight="false" outlineLevel="0" collapsed="false">
      <c r="A12" s="6" t="s">
        <v>56</v>
      </c>
      <c r="B12" s="10"/>
      <c r="C12" s="10" t="n">
        <v>1.44</v>
      </c>
    </row>
    <row r="13" customFormat="false" ht="15" hidden="false" customHeight="false" outlineLevel="0" collapsed="false">
      <c r="A13" s="6" t="s">
        <v>57</v>
      </c>
      <c r="B13" s="10"/>
      <c r="C13" s="10" t="n">
        <v>1.68</v>
      </c>
    </row>
    <row r="14" customFormat="false" ht="15" hidden="false" customHeight="false" outlineLevel="0" collapsed="false">
      <c r="A14" s="6" t="s">
        <v>58</v>
      </c>
      <c r="B14" s="10"/>
      <c r="C14" s="10" t="n">
        <v>2.05</v>
      </c>
    </row>
    <row r="15" customFormat="false" ht="15" hidden="false" customHeight="false" outlineLevel="0" collapsed="false">
      <c r="A15" s="6" t="s">
        <v>59</v>
      </c>
      <c r="B15" s="10"/>
      <c r="C15" s="10" t="n">
        <v>2.62</v>
      </c>
    </row>
    <row r="16" customFormat="false" ht="15" hidden="false" customHeight="false" outlineLevel="0" collapsed="false">
      <c r="A16" s="6" t="s">
        <v>60</v>
      </c>
      <c r="B16" s="10"/>
      <c r="C16" s="10" t="n">
        <v>3.18</v>
      </c>
    </row>
    <row r="17" customFormat="false" ht="15" hidden="false" customHeight="false" outlineLevel="0" collapsed="false">
      <c r="A17" s="6" t="s">
        <v>61</v>
      </c>
      <c r="B17" s="10"/>
      <c r="C17" s="10" t="n">
        <v>3.05</v>
      </c>
    </row>
    <row r="18" customFormat="false" ht="15" hidden="false" customHeight="false" outlineLevel="0" collapsed="false">
      <c r="A18" s="6" t="s">
        <v>62</v>
      </c>
      <c r="B18" s="10"/>
      <c r="C18" s="10" t="n">
        <v>2.88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9"/>
    <col collapsed="false" customWidth="true" hidden="false" outlineLevel="0" max="4" min="4" style="0" width="7"/>
  </cols>
  <sheetData>
    <row r="1" customFormat="false" ht="15" hidden="false" customHeight="false" outlineLevel="0" collapsed="false">
      <c r="A1" s="5" t="s">
        <v>63</v>
      </c>
      <c r="B1" s="5" t="s">
        <v>17</v>
      </c>
      <c r="C1" s="5" t="s">
        <v>64</v>
      </c>
      <c r="D1" s="5" t="s">
        <v>65</v>
      </c>
    </row>
    <row r="2" customFormat="false" ht="15" hidden="false" customHeight="false" outlineLevel="0" collapsed="false">
      <c r="A2" s="6" t="s">
        <v>66</v>
      </c>
      <c r="B2" s="12" t="n">
        <v>1.8</v>
      </c>
      <c r="C2" s="12" t="n">
        <v>2</v>
      </c>
      <c r="D2" s="6" t="s">
        <v>67</v>
      </c>
    </row>
    <row r="3" customFormat="false" ht="15" hidden="false" customHeight="false" outlineLevel="0" collapsed="false">
      <c r="A3" s="6" t="s">
        <v>68</v>
      </c>
      <c r="B3" s="12" t="n">
        <v>1.6</v>
      </c>
      <c r="C3" s="12" t="n">
        <v>1</v>
      </c>
      <c r="D3" s="6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5" t="s">
        <v>70</v>
      </c>
      <c r="B1" s="5" t="s">
        <v>71</v>
      </c>
      <c r="C1" s="5" t="s">
        <v>33</v>
      </c>
    </row>
    <row r="2" customFormat="false" ht="15" hidden="false" customHeight="false" outlineLevel="0" collapsed="false">
      <c r="A2" s="6" t="s">
        <v>72</v>
      </c>
      <c r="B2" s="8" t="n">
        <v>46265</v>
      </c>
      <c r="C2" s="9"/>
    </row>
    <row r="3" customFormat="false" ht="15" hidden="false" customHeight="false" outlineLevel="0" collapsed="false">
      <c r="A3" s="6" t="s">
        <v>73</v>
      </c>
      <c r="B3" s="8" t="n">
        <v>46280</v>
      </c>
      <c r="C3" s="9"/>
    </row>
    <row r="4" customFormat="false" ht="15" hidden="false" customHeight="false" outlineLevel="0" collapsed="false">
      <c r="A4" s="6" t="s">
        <v>74</v>
      </c>
      <c r="B4" s="8" t="n">
        <v>46295</v>
      </c>
      <c r="C4" s="9"/>
    </row>
    <row r="5" customFormat="false" ht="15" hidden="false" customHeight="false" outlineLevel="0" collapsed="false">
      <c r="A5" s="6" t="s">
        <v>75</v>
      </c>
      <c r="B5" s="8" t="n">
        <v>46295</v>
      </c>
      <c r="C5" s="9" t="n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1"/>
  </cols>
  <sheetData>
    <row r="1" customFormat="false" ht="15" hidden="false" customHeight="false" outlineLevel="0" collapsed="false">
      <c r="A1" s="5" t="s">
        <v>23</v>
      </c>
      <c r="B1" s="5" t="s">
        <v>76</v>
      </c>
      <c r="C1" s="5" t="s">
        <v>77</v>
      </c>
    </row>
    <row r="2" customFormat="false" ht="15" hidden="false" customHeight="false" outlineLevel="0" collapsed="false">
      <c r="A2" s="7" t="n">
        <v>45870</v>
      </c>
      <c r="B2" s="9" t="n">
        <v>90</v>
      </c>
      <c r="C2" s="9" t="n">
        <v>70</v>
      </c>
    </row>
    <row r="3" customFormat="false" ht="15" hidden="false" customHeight="false" outlineLevel="0" collapsed="false">
      <c r="A3" s="7" t="n">
        <v>45901</v>
      </c>
      <c r="B3" s="9" t="n">
        <v>180</v>
      </c>
      <c r="C3" s="9" t="n">
        <v>150</v>
      </c>
    </row>
    <row r="4" customFormat="false" ht="15" hidden="false" customHeight="false" outlineLevel="0" collapsed="false">
      <c r="A4" s="7" t="n">
        <v>45931</v>
      </c>
      <c r="B4" s="9" t="n">
        <v>230</v>
      </c>
      <c r="C4" s="9" t="n">
        <v>190</v>
      </c>
    </row>
    <row r="5" customFormat="false" ht="15" hidden="false" customHeight="false" outlineLevel="0" collapsed="false">
      <c r="A5" s="7" t="n">
        <v>45962</v>
      </c>
      <c r="B5" s="9" t="n">
        <v>290</v>
      </c>
      <c r="C5" s="9" t="n">
        <v>240</v>
      </c>
    </row>
    <row r="6" customFormat="false" ht="15" hidden="false" customHeight="false" outlineLevel="0" collapsed="false">
      <c r="A6" s="7" t="n">
        <v>45992</v>
      </c>
      <c r="B6" s="9" t="n">
        <v>400</v>
      </c>
      <c r="C6" s="9" t="n">
        <v>330</v>
      </c>
    </row>
    <row r="7" customFormat="false" ht="15" hidden="false" customHeight="false" outlineLevel="0" collapsed="false">
      <c r="A7" s="7" t="n">
        <v>46023</v>
      </c>
      <c r="B7" s="9" t="n">
        <v>460</v>
      </c>
      <c r="C7" s="9" t="n">
        <v>380</v>
      </c>
    </row>
    <row r="8" customFormat="false" ht="15" hidden="false" customHeight="false" outlineLevel="0" collapsed="false">
      <c r="A8" s="7" t="n">
        <v>46054</v>
      </c>
      <c r="B8" s="9" t="n">
        <v>780</v>
      </c>
      <c r="C8" s="9" t="n">
        <v>690</v>
      </c>
    </row>
    <row r="9" customFormat="false" ht="15" hidden="false" customHeight="false" outlineLevel="0" collapsed="false">
      <c r="A9" s="7" t="n">
        <v>46082</v>
      </c>
      <c r="B9" s="9" t="n">
        <v>1240</v>
      </c>
      <c r="C9" s="9" t="n">
        <v>1080</v>
      </c>
    </row>
    <row r="10" customFormat="false" ht="15" hidden="false" customHeight="false" outlineLevel="0" collapsed="false">
      <c r="A10" s="7" t="n">
        <v>46113</v>
      </c>
      <c r="B10" s="9" t="n">
        <v>1690</v>
      </c>
      <c r="C10" s="9" t="n">
        <v>1470</v>
      </c>
    </row>
    <row r="11" customFormat="false" ht="15" hidden="false" customHeight="false" outlineLevel="0" collapsed="false">
      <c r="A11" s="7" t="n">
        <v>46143</v>
      </c>
      <c r="B11" s="9" t="n">
        <v>2080</v>
      </c>
      <c r="C11" s="9" t="n">
        <v>1820</v>
      </c>
    </row>
    <row r="12" customFormat="false" ht="15" hidden="false" customHeight="false" outlineLevel="0" collapsed="false">
      <c r="A12" s="7" t="n">
        <v>46174</v>
      </c>
      <c r="B12" s="9" t="n">
        <v>2210</v>
      </c>
      <c r="C12" s="9" t="n">
        <v>2210</v>
      </c>
    </row>
    <row r="13" customFormat="false" ht="15" hidden="false" customHeight="false" outlineLevel="0" collapsed="false">
      <c r="A13" s="7" t="n">
        <v>46204</v>
      </c>
      <c r="B13" s="9"/>
      <c r="C13" s="9" t="n">
        <v>2540</v>
      </c>
    </row>
    <row r="14" customFormat="false" ht="15" hidden="false" customHeight="false" outlineLevel="0" collapsed="false">
      <c r="A14" s="7" t="n">
        <v>46235</v>
      </c>
      <c r="B14" s="9"/>
      <c r="C14" s="9" t="n">
        <v>2700</v>
      </c>
    </row>
    <row r="15" customFormat="false" ht="15" hidden="false" customHeight="false" outlineLevel="0" collapsed="false">
      <c r="A15" s="7" t="n">
        <v>46266</v>
      </c>
      <c r="B15" s="9"/>
      <c r="C15" s="9" t="n">
        <v>2810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</cols>
  <sheetData>
    <row r="1" customFormat="false" ht="15" hidden="false" customHeight="false" outlineLevel="0" collapsed="false">
      <c r="A1" s="5" t="s">
        <v>78</v>
      </c>
      <c r="B1" s="5" t="s">
        <v>79</v>
      </c>
    </row>
    <row r="2" customFormat="false" ht="15" hidden="false" customHeight="false" outlineLevel="0" collapsed="false">
      <c r="A2" s="6" t="s">
        <v>80</v>
      </c>
      <c r="B2" s="9" t="n">
        <v>420</v>
      </c>
    </row>
    <row r="3" customFormat="false" ht="15" hidden="false" customHeight="false" outlineLevel="0" collapsed="false">
      <c r="A3" s="6" t="s">
        <v>81</v>
      </c>
      <c r="B3" s="9" t="n">
        <v>380</v>
      </c>
    </row>
    <row r="4" customFormat="false" ht="15" hidden="false" customHeight="false" outlineLevel="0" collapsed="false">
      <c r="A4" s="6" t="s">
        <v>82</v>
      </c>
      <c r="B4" s="9" t="n">
        <v>260</v>
      </c>
    </row>
    <row r="5" customFormat="false" ht="15" hidden="false" customHeight="false" outlineLevel="0" collapsed="false">
      <c r="A5" s="6" t="s">
        <v>83</v>
      </c>
      <c r="B5" s="9" t="n">
        <v>240</v>
      </c>
    </row>
    <row r="6" customFormat="false" ht="15" hidden="false" customHeight="false" outlineLevel="0" collapsed="false">
      <c r="A6" s="6" t="s">
        <v>84</v>
      </c>
      <c r="B6" s="9" t="n">
        <v>210</v>
      </c>
    </row>
    <row r="7" customFormat="false" ht="15" hidden="false" customHeight="false" outlineLevel="0" collapsed="false">
      <c r="A7" s="6" t="s">
        <v>85</v>
      </c>
      <c r="B7" s="9" t="n">
        <v>350</v>
      </c>
    </row>
    <row r="8" customFormat="false" ht="15" hidden="false" customHeight="false" outlineLevel="0" collapsed="false">
      <c r="A8" s="6" t="s">
        <v>86</v>
      </c>
      <c r="B8" s="9" t="n">
        <v>250</v>
      </c>
    </row>
    <row r="9" customFormat="false" ht="15" hidden="false" customHeight="false" outlineLevel="0" collapsed="false">
      <c r="A9" s="6" t="s">
        <v>87</v>
      </c>
      <c r="B9" s="9" t="n">
        <v>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5" t="s">
        <v>88</v>
      </c>
      <c r="B1" s="5" t="s">
        <v>17</v>
      </c>
      <c r="C1" s="5" t="s">
        <v>89</v>
      </c>
    </row>
    <row r="2" customFormat="false" ht="15" hidden="false" customHeight="false" outlineLevel="0" collapsed="false">
      <c r="A2" s="6" t="s">
        <v>90</v>
      </c>
      <c r="B2" s="6" t="s">
        <v>91</v>
      </c>
      <c r="C2" s="6" t="s">
        <v>92</v>
      </c>
    </row>
    <row r="3" customFormat="false" ht="15" hidden="false" customHeight="false" outlineLevel="0" collapsed="false">
      <c r="A3" s="6" t="s">
        <v>93</v>
      </c>
      <c r="B3" s="6" t="s">
        <v>94</v>
      </c>
      <c r="C3" s="6" t="s">
        <v>95</v>
      </c>
    </row>
    <row r="4" customFormat="false" ht="15" hidden="false" customHeight="false" outlineLevel="0" collapsed="false">
      <c r="A4" s="6" t="s">
        <v>96</v>
      </c>
      <c r="B4" s="6" t="s">
        <v>97</v>
      </c>
      <c r="C4" s="6" t="s">
        <v>98</v>
      </c>
    </row>
    <row r="5" customFormat="false" ht="15" hidden="false" customHeight="false" outlineLevel="0" collapsed="false">
      <c r="A5" s="6" t="s">
        <v>99</v>
      </c>
      <c r="B5" s="6" t="s">
        <v>100</v>
      </c>
      <c r="C5" s="6" t="s">
        <v>101</v>
      </c>
    </row>
    <row r="6" customFormat="false" ht="15" hidden="false" customHeight="false" outlineLevel="0" collapsed="false">
      <c r="A6" s="6" t="s">
        <v>102</v>
      </c>
      <c r="B6" s="6" t="s">
        <v>103</v>
      </c>
      <c r="C6" s="6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9"/>
    <col collapsed="false" customWidth="true" hidden="false" outlineLevel="0" max="9" min="9" style="0" width="12"/>
    <col collapsed="false" customWidth="true" hidden="false" outlineLevel="0" max="10" min="10" style="0" width="7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5" t="s">
        <v>105</v>
      </c>
      <c r="B1" s="5" t="s">
        <v>63</v>
      </c>
      <c r="C1" s="5" t="s">
        <v>106</v>
      </c>
      <c r="D1" s="5" t="s">
        <v>107</v>
      </c>
      <c r="E1" s="5" t="s">
        <v>79</v>
      </c>
      <c r="F1" s="5" t="s">
        <v>108</v>
      </c>
      <c r="G1" s="5" t="s">
        <v>109</v>
      </c>
      <c r="H1" s="5" t="s">
        <v>110</v>
      </c>
      <c r="I1" s="5" t="s">
        <v>111</v>
      </c>
      <c r="J1" s="5" t="s">
        <v>112</v>
      </c>
      <c r="K1" s="5" t="s">
        <v>113</v>
      </c>
      <c r="L1" s="5" t="s">
        <v>114</v>
      </c>
      <c r="M1" s="5" t="s">
        <v>115</v>
      </c>
    </row>
    <row r="2" customFormat="false" ht="15" hidden="false" customHeight="false" outlineLevel="0" collapsed="false">
      <c r="A2" s="6" t="s">
        <v>116</v>
      </c>
      <c r="B2" s="6" t="s">
        <v>117</v>
      </c>
      <c r="C2" s="6" t="s">
        <v>118</v>
      </c>
      <c r="D2" s="9" t="n">
        <v>850</v>
      </c>
      <c r="E2" s="9" t="n">
        <v>780</v>
      </c>
      <c r="F2" s="11" t="n">
        <v>52</v>
      </c>
      <c r="G2" s="11" t="n">
        <v>96</v>
      </c>
      <c r="H2" s="11" t="n">
        <v>20</v>
      </c>
      <c r="I2" s="12" t="n">
        <v>3.8</v>
      </c>
      <c r="J2" s="11" t="n">
        <v>64</v>
      </c>
      <c r="K2" s="9" t="n">
        <v>61</v>
      </c>
      <c r="L2" s="9" t="n">
        <v>610</v>
      </c>
      <c r="M2" s="9" t="n">
        <v>1450</v>
      </c>
    </row>
    <row r="3" customFormat="false" ht="15" hidden="false" customHeight="false" outlineLevel="0" collapsed="false">
      <c r="A3" s="6" t="s">
        <v>119</v>
      </c>
      <c r="B3" s="6" t="s">
        <v>120</v>
      </c>
      <c r="C3" s="6" t="s">
        <v>121</v>
      </c>
      <c r="D3" s="9" t="n">
        <v>500</v>
      </c>
      <c r="E3" s="9" t="n">
        <v>420</v>
      </c>
      <c r="F3" s="11" t="n">
        <v>55</v>
      </c>
      <c r="G3" s="11" t="n">
        <v>95</v>
      </c>
      <c r="H3" s="11" t="n">
        <v>19</v>
      </c>
      <c r="I3" s="12" t="n">
        <v>4.2</v>
      </c>
      <c r="J3" s="11" t="n">
        <v>61</v>
      </c>
      <c r="K3" s="9" t="n">
        <v>59</v>
      </c>
      <c r="L3" s="9" t="n">
        <v>340</v>
      </c>
      <c r="M3" s="9" t="n">
        <v>820</v>
      </c>
    </row>
    <row r="4" customFormat="false" ht="15" hidden="false" customHeight="false" outlineLevel="0" collapsed="false">
      <c r="A4" s="6" t="s">
        <v>122</v>
      </c>
      <c r="B4" s="6" t="s">
        <v>123</v>
      </c>
      <c r="C4" s="6" t="s">
        <v>124</v>
      </c>
      <c r="D4" s="9" t="n">
        <v>380</v>
      </c>
      <c r="E4" s="9" t="n">
        <v>310</v>
      </c>
      <c r="F4" s="11" t="n">
        <v>58</v>
      </c>
      <c r="G4" s="11" t="n">
        <v>94</v>
      </c>
      <c r="H4" s="11" t="n">
        <v>18</v>
      </c>
      <c r="I4" s="12" t="n">
        <v>4.5</v>
      </c>
      <c r="J4" s="11" t="n">
        <v>59</v>
      </c>
      <c r="K4" s="9" t="n">
        <v>58</v>
      </c>
      <c r="L4" s="9" t="n">
        <v>295</v>
      </c>
      <c r="M4" s="9" t="n">
        <v>610</v>
      </c>
    </row>
    <row r="5" customFormat="false" ht="15" hidden="false" customHeight="false" outlineLevel="0" collapsed="false">
      <c r="A5" s="6" t="s">
        <v>125</v>
      </c>
      <c r="B5" s="6" t="s">
        <v>126</v>
      </c>
      <c r="C5" s="6" t="s">
        <v>127</v>
      </c>
      <c r="D5" s="9" t="n">
        <v>450</v>
      </c>
      <c r="E5" s="9" t="n">
        <v>360</v>
      </c>
      <c r="F5" s="11" t="n">
        <v>56</v>
      </c>
      <c r="G5" s="11" t="n">
        <v>93</v>
      </c>
      <c r="H5" s="11" t="n">
        <v>19</v>
      </c>
      <c r="I5" s="12" t="n">
        <v>4.9</v>
      </c>
      <c r="J5" s="11" t="n">
        <v>58</v>
      </c>
      <c r="K5" s="9" t="n">
        <v>58</v>
      </c>
      <c r="L5" s="9" t="n">
        <v>285</v>
      </c>
      <c r="M5" s="9" t="n">
        <v>740</v>
      </c>
    </row>
    <row r="6" customFormat="false" ht="15" hidden="false" customHeight="false" outlineLevel="0" collapsed="false">
      <c r="A6" s="6" t="s">
        <v>128</v>
      </c>
      <c r="B6" s="6" t="s">
        <v>129</v>
      </c>
      <c r="C6" s="6" t="s">
        <v>130</v>
      </c>
      <c r="D6" s="9" t="n">
        <v>350</v>
      </c>
      <c r="E6" s="9" t="n">
        <v>290</v>
      </c>
      <c r="F6" s="11" t="n">
        <v>54</v>
      </c>
      <c r="G6" s="11" t="n">
        <v>94</v>
      </c>
      <c r="H6" s="11" t="n">
        <v>18</v>
      </c>
      <c r="I6" s="12" t="n">
        <v>4.4</v>
      </c>
      <c r="J6" s="11" t="n">
        <v>60</v>
      </c>
      <c r="K6" s="9" t="n">
        <v>57</v>
      </c>
      <c r="L6" s="9" t="n">
        <v>250</v>
      </c>
      <c r="M6" s="9" t="n">
        <v>560</v>
      </c>
    </row>
    <row r="7" customFormat="false" ht="15" hidden="false" customHeight="false" outlineLevel="0" collapsed="false">
      <c r="A7" s="6" t="s">
        <v>131</v>
      </c>
      <c r="B7" s="6" t="s">
        <v>132</v>
      </c>
      <c r="C7" s="6" t="s">
        <v>133</v>
      </c>
      <c r="D7" s="9" t="n">
        <v>320</v>
      </c>
      <c r="E7" s="9" t="n">
        <v>240</v>
      </c>
      <c r="F7" s="11" t="n">
        <v>51</v>
      </c>
      <c r="G7" s="11" t="n">
        <v>92</v>
      </c>
      <c r="H7" s="11" t="n">
        <v>17</v>
      </c>
      <c r="I7" s="12" t="n">
        <v>5.2</v>
      </c>
      <c r="J7" s="11" t="n">
        <v>57</v>
      </c>
      <c r="K7" s="9" t="n">
        <v>56</v>
      </c>
      <c r="L7" s="9" t="n">
        <v>230</v>
      </c>
      <c r="M7" s="9" t="n">
        <v>520</v>
      </c>
    </row>
    <row r="8" customFormat="false" ht="15" hidden="false" customHeight="false" outlineLevel="0" collapsed="false">
      <c r="A8" s="6" t="s">
        <v>134</v>
      </c>
      <c r="B8" s="6" t="s">
        <v>135</v>
      </c>
      <c r="C8" s="6" t="s">
        <v>136</v>
      </c>
      <c r="D8" s="9" t="n">
        <v>300</v>
      </c>
      <c r="E8" s="9" t="n">
        <v>220</v>
      </c>
      <c r="F8" s="11" t="n">
        <v>49</v>
      </c>
      <c r="G8" s="11" t="n">
        <v>91</v>
      </c>
      <c r="H8" s="11" t="n">
        <v>16</v>
      </c>
      <c r="I8" s="12" t="n">
        <v>5.8</v>
      </c>
      <c r="J8" s="11" t="n">
        <v>55</v>
      </c>
      <c r="K8" s="9" t="n">
        <v>54</v>
      </c>
      <c r="L8" s="9" t="n">
        <v>175</v>
      </c>
      <c r="M8" s="9" t="n">
        <v>480</v>
      </c>
    </row>
    <row r="9" customFormat="false" ht="15" hidden="false" customHeight="false" outlineLevel="0" collapsed="false">
      <c r="A9" s="6" t="s">
        <v>137</v>
      </c>
      <c r="B9" s="6" t="s">
        <v>138</v>
      </c>
      <c r="C9" s="6" t="s">
        <v>139</v>
      </c>
      <c r="D9" s="9" t="n">
        <v>260</v>
      </c>
      <c r="E9" s="9" t="n">
        <v>190</v>
      </c>
      <c r="F9" s="11" t="n">
        <v>47</v>
      </c>
      <c r="G9" s="11" t="n">
        <v>90</v>
      </c>
      <c r="H9" s="11" t="n">
        <v>15</v>
      </c>
      <c r="I9" s="12" t="n">
        <v>6.1</v>
      </c>
      <c r="J9" s="11" t="n">
        <v>54</v>
      </c>
      <c r="K9" s="9" t="n">
        <v>54</v>
      </c>
      <c r="L9" s="9" t="n">
        <v>168</v>
      </c>
      <c r="M9" s="9" t="n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5" t="s">
        <v>105</v>
      </c>
      <c r="B1" s="5" t="s">
        <v>23</v>
      </c>
      <c r="C1" s="5" t="s">
        <v>140</v>
      </c>
    </row>
    <row r="2" customFormat="false" ht="15" hidden="false" customHeight="false" outlineLevel="0" collapsed="false">
      <c r="A2" s="6" t="s">
        <v>116</v>
      </c>
      <c r="B2" s="7" t="n">
        <v>45839</v>
      </c>
      <c r="C2" s="9" t="n">
        <v>226</v>
      </c>
    </row>
    <row r="3" customFormat="false" ht="15" hidden="false" customHeight="false" outlineLevel="0" collapsed="false">
      <c r="A3" s="6" t="s">
        <v>116</v>
      </c>
      <c r="B3" s="7" t="n">
        <v>45870</v>
      </c>
      <c r="C3" s="9" t="n">
        <v>171</v>
      </c>
    </row>
    <row r="4" customFormat="false" ht="15" hidden="false" customHeight="false" outlineLevel="0" collapsed="false">
      <c r="A4" s="6" t="s">
        <v>116</v>
      </c>
      <c r="B4" s="7" t="n">
        <v>45901</v>
      </c>
      <c r="C4" s="9" t="n">
        <v>733</v>
      </c>
    </row>
    <row r="5" customFormat="false" ht="15" hidden="false" customHeight="false" outlineLevel="0" collapsed="false">
      <c r="A5" s="6" t="s">
        <v>116</v>
      </c>
      <c r="B5" s="7" t="n">
        <v>45931</v>
      </c>
      <c r="C5" s="9" t="n">
        <v>662</v>
      </c>
    </row>
    <row r="6" customFormat="false" ht="15" hidden="false" customHeight="false" outlineLevel="0" collapsed="false">
      <c r="A6" s="6" t="s">
        <v>116</v>
      </c>
      <c r="B6" s="7" t="n">
        <v>45962</v>
      </c>
      <c r="C6" s="9" t="n">
        <v>474</v>
      </c>
    </row>
    <row r="7" customFormat="false" ht="15" hidden="false" customHeight="false" outlineLevel="0" collapsed="false">
      <c r="A7" s="6" t="s">
        <v>116</v>
      </c>
      <c r="B7" s="7" t="n">
        <v>45992</v>
      </c>
      <c r="C7" s="9" t="n">
        <v>447</v>
      </c>
    </row>
    <row r="8" customFormat="false" ht="15" hidden="false" customHeight="false" outlineLevel="0" collapsed="false">
      <c r="A8" s="6" t="s">
        <v>116</v>
      </c>
      <c r="B8" s="7" t="n">
        <v>46023</v>
      </c>
      <c r="C8" s="9" t="n">
        <v>590</v>
      </c>
    </row>
    <row r="9" customFormat="false" ht="15" hidden="false" customHeight="false" outlineLevel="0" collapsed="false">
      <c r="A9" s="6" t="s">
        <v>116</v>
      </c>
      <c r="B9" s="7" t="n">
        <v>46054</v>
      </c>
      <c r="C9" s="9" t="n">
        <v>524</v>
      </c>
    </row>
    <row r="10" customFormat="false" ht="15" hidden="false" customHeight="false" outlineLevel="0" collapsed="false">
      <c r="A10" s="6" t="s">
        <v>116</v>
      </c>
      <c r="B10" s="7" t="n">
        <v>46082</v>
      </c>
      <c r="C10" s="9" t="n">
        <v>507</v>
      </c>
    </row>
    <row r="11" customFormat="false" ht="15" hidden="false" customHeight="false" outlineLevel="0" collapsed="false">
      <c r="A11" s="6" t="s">
        <v>116</v>
      </c>
      <c r="B11" s="7" t="n">
        <v>46113</v>
      </c>
      <c r="C11" s="9" t="n">
        <v>513</v>
      </c>
    </row>
    <row r="12" customFormat="false" ht="15" hidden="false" customHeight="false" outlineLevel="0" collapsed="false">
      <c r="A12" s="6" t="s">
        <v>116</v>
      </c>
      <c r="B12" s="7" t="n">
        <v>46143</v>
      </c>
      <c r="C12" s="9" t="n">
        <v>546</v>
      </c>
    </row>
    <row r="13" customFormat="false" ht="15" hidden="false" customHeight="false" outlineLevel="0" collapsed="false">
      <c r="A13" s="6" t="s">
        <v>116</v>
      </c>
      <c r="B13" s="7" t="n">
        <v>46174</v>
      </c>
      <c r="C13" s="9" t="n">
        <v>122</v>
      </c>
    </row>
    <row r="14" customFormat="false" ht="15" hidden="false" customHeight="false" outlineLevel="0" collapsed="false">
      <c r="A14" s="6" t="s">
        <v>119</v>
      </c>
      <c r="B14" s="7" t="n">
        <v>45839</v>
      </c>
      <c r="C14" s="9" t="n">
        <v>121</v>
      </c>
    </row>
    <row r="15" customFormat="false" ht="15" hidden="false" customHeight="false" outlineLevel="0" collapsed="false">
      <c r="A15" s="6" t="s">
        <v>119</v>
      </c>
      <c r="B15" s="7" t="n">
        <v>45870</v>
      </c>
      <c r="C15" s="9" t="n">
        <v>92</v>
      </c>
    </row>
    <row r="16" customFormat="false" ht="15" hidden="false" customHeight="false" outlineLevel="0" collapsed="false">
      <c r="A16" s="6" t="s">
        <v>119</v>
      </c>
      <c r="B16" s="7" t="n">
        <v>45901</v>
      </c>
      <c r="C16" s="9" t="n">
        <v>393</v>
      </c>
    </row>
    <row r="17" customFormat="false" ht="15" hidden="false" customHeight="false" outlineLevel="0" collapsed="false">
      <c r="A17" s="6" t="s">
        <v>119</v>
      </c>
      <c r="B17" s="7" t="n">
        <v>45931</v>
      </c>
      <c r="C17" s="9" t="n">
        <v>355</v>
      </c>
    </row>
    <row r="18" customFormat="false" ht="15" hidden="false" customHeight="false" outlineLevel="0" collapsed="false">
      <c r="A18" s="6" t="s">
        <v>119</v>
      </c>
      <c r="B18" s="7" t="n">
        <v>45962</v>
      </c>
      <c r="C18" s="9" t="n">
        <v>254</v>
      </c>
    </row>
    <row r="19" customFormat="false" ht="15" hidden="false" customHeight="false" outlineLevel="0" collapsed="false">
      <c r="A19" s="6" t="s">
        <v>119</v>
      </c>
      <c r="B19" s="7" t="n">
        <v>45992</v>
      </c>
      <c r="C19" s="9" t="n">
        <v>239</v>
      </c>
    </row>
    <row r="20" customFormat="false" ht="15" hidden="false" customHeight="false" outlineLevel="0" collapsed="false">
      <c r="A20" s="6" t="s">
        <v>119</v>
      </c>
      <c r="B20" s="7" t="n">
        <v>46023</v>
      </c>
      <c r="C20" s="9" t="n">
        <v>316</v>
      </c>
    </row>
    <row r="21" customFormat="false" ht="15" hidden="false" customHeight="false" outlineLevel="0" collapsed="false">
      <c r="A21" s="6" t="s">
        <v>119</v>
      </c>
      <c r="B21" s="7" t="n">
        <v>46054</v>
      </c>
      <c r="C21" s="9" t="n">
        <v>281</v>
      </c>
    </row>
    <row r="22" customFormat="false" ht="15" hidden="false" customHeight="false" outlineLevel="0" collapsed="false">
      <c r="A22" s="6" t="s">
        <v>119</v>
      </c>
      <c r="B22" s="7" t="n">
        <v>46082</v>
      </c>
      <c r="C22" s="9" t="n">
        <v>272</v>
      </c>
    </row>
    <row r="23" customFormat="false" ht="15" hidden="false" customHeight="false" outlineLevel="0" collapsed="false">
      <c r="A23" s="6" t="s">
        <v>119</v>
      </c>
      <c r="B23" s="7" t="n">
        <v>46113</v>
      </c>
      <c r="C23" s="9" t="n">
        <v>275</v>
      </c>
    </row>
    <row r="24" customFormat="false" ht="15" hidden="false" customHeight="false" outlineLevel="0" collapsed="false">
      <c r="A24" s="6" t="s">
        <v>119</v>
      </c>
      <c r="B24" s="7" t="n">
        <v>46143</v>
      </c>
      <c r="C24" s="9" t="n">
        <v>293</v>
      </c>
    </row>
    <row r="25" customFormat="false" ht="15" hidden="false" customHeight="false" outlineLevel="0" collapsed="false">
      <c r="A25" s="6" t="s">
        <v>119</v>
      </c>
      <c r="B25" s="7" t="n">
        <v>46174</v>
      </c>
      <c r="C25" s="9" t="n">
        <v>64</v>
      </c>
    </row>
    <row r="26" customFormat="false" ht="15" hidden="false" customHeight="false" outlineLevel="0" collapsed="false">
      <c r="A26" s="6" t="s">
        <v>122</v>
      </c>
      <c r="B26" s="7" t="n">
        <v>45839</v>
      </c>
      <c r="C26" s="9" t="n">
        <v>89</v>
      </c>
    </row>
    <row r="27" customFormat="false" ht="15" hidden="false" customHeight="false" outlineLevel="0" collapsed="false">
      <c r="A27" s="6" t="s">
        <v>122</v>
      </c>
      <c r="B27" s="7" t="n">
        <v>45870</v>
      </c>
      <c r="C27" s="9" t="n">
        <v>68</v>
      </c>
    </row>
    <row r="28" customFormat="false" ht="15" hidden="false" customHeight="false" outlineLevel="0" collapsed="false">
      <c r="A28" s="6" t="s">
        <v>122</v>
      </c>
      <c r="B28" s="7" t="n">
        <v>45901</v>
      </c>
      <c r="C28" s="9" t="n">
        <v>290</v>
      </c>
    </row>
    <row r="29" customFormat="false" ht="15" hidden="false" customHeight="false" outlineLevel="0" collapsed="false">
      <c r="A29" s="6" t="s">
        <v>122</v>
      </c>
      <c r="B29" s="7" t="n">
        <v>45931</v>
      </c>
      <c r="C29" s="9" t="n">
        <v>262</v>
      </c>
    </row>
    <row r="30" customFormat="false" ht="15" hidden="false" customHeight="false" outlineLevel="0" collapsed="false">
      <c r="A30" s="6" t="s">
        <v>122</v>
      </c>
      <c r="B30" s="7" t="n">
        <v>45962</v>
      </c>
      <c r="C30" s="9" t="n">
        <v>187</v>
      </c>
    </row>
    <row r="31" customFormat="false" ht="15" hidden="false" customHeight="false" outlineLevel="0" collapsed="false">
      <c r="A31" s="6" t="s">
        <v>122</v>
      </c>
      <c r="B31" s="7" t="n">
        <v>45992</v>
      </c>
      <c r="C31" s="9" t="n">
        <v>177</v>
      </c>
    </row>
    <row r="32" customFormat="false" ht="15" hidden="false" customHeight="false" outlineLevel="0" collapsed="false">
      <c r="A32" s="6" t="s">
        <v>122</v>
      </c>
      <c r="B32" s="7" t="n">
        <v>46023</v>
      </c>
      <c r="C32" s="9" t="n">
        <v>233</v>
      </c>
    </row>
    <row r="33" customFormat="false" ht="15" hidden="false" customHeight="false" outlineLevel="0" collapsed="false">
      <c r="A33" s="6" t="s">
        <v>122</v>
      </c>
      <c r="B33" s="7" t="n">
        <v>46054</v>
      </c>
      <c r="C33" s="9" t="n">
        <v>207</v>
      </c>
    </row>
    <row r="34" customFormat="false" ht="15" hidden="false" customHeight="false" outlineLevel="0" collapsed="false">
      <c r="A34" s="6" t="s">
        <v>122</v>
      </c>
      <c r="B34" s="7" t="n">
        <v>46082</v>
      </c>
      <c r="C34" s="9" t="n">
        <v>201</v>
      </c>
    </row>
    <row r="35" customFormat="false" ht="15" hidden="false" customHeight="false" outlineLevel="0" collapsed="false">
      <c r="A35" s="6" t="s">
        <v>122</v>
      </c>
      <c r="B35" s="7" t="n">
        <v>46113</v>
      </c>
      <c r="C35" s="9" t="n">
        <v>203</v>
      </c>
    </row>
    <row r="36" customFormat="false" ht="15" hidden="false" customHeight="false" outlineLevel="0" collapsed="false">
      <c r="A36" s="6" t="s">
        <v>122</v>
      </c>
      <c r="B36" s="7" t="n">
        <v>46143</v>
      </c>
      <c r="C36" s="9" t="n">
        <v>216</v>
      </c>
    </row>
    <row r="37" customFormat="false" ht="15" hidden="false" customHeight="false" outlineLevel="0" collapsed="false">
      <c r="A37" s="6" t="s">
        <v>122</v>
      </c>
      <c r="B37" s="7" t="n">
        <v>46174</v>
      </c>
      <c r="C37" s="9" t="n">
        <v>47</v>
      </c>
    </row>
    <row r="38" customFormat="false" ht="15" hidden="false" customHeight="false" outlineLevel="0" collapsed="false">
      <c r="A38" s="6" t="s">
        <v>125</v>
      </c>
      <c r="B38" s="7" t="n">
        <v>45839</v>
      </c>
      <c r="C38" s="9" t="n">
        <v>104</v>
      </c>
    </row>
    <row r="39" customFormat="false" ht="15" hidden="false" customHeight="false" outlineLevel="0" collapsed="false">
      <c r="A39" s="6" t="s">
        <v>125</v>
      </c>
      <c r="B39" s="7" t="n">
        <v>45870</v>
      </c>
      <c r="C39" s="9" t="n">
        <v>79</v>
      </c>
    </row>
    <row r="40" customFormat="false" ht="15" hidden="false" customHeight="false" outlineLevel="0" collapsed="false">
      <c r="A40" s="6" t="s">
        <v>125</v>
      </c>
      <c r="B40" s="7" t="n">
        <v>45901</v>
      </c>
      <c r="C40" s="9" t="n">
        <v>337</v>
      </c>
    </row>
    <row r="41" customFormat="false" ht="15" hidden="false" customHeight="false" outlineLevel="0" collapsed="false">
      <c r="A41" s="6" t="s">
        <v>125</v>
      </c>
      <c r="B41" s="7" t="n">
        <v>45931</v>
      </c>
      <c r="C41" s="9" t="n">
        <v>304</v>
      </c>
    </row>
    <row r="42" customFormat="false" ht="15" hidden="false" customHeight="false" outlineLevel="0" collapsed="false">
      <c r="A42" s="6" t="s">
        <v>125</v>
      </c>
      <c r="B42" s="7" t="n">
        <v>45962</v>
      </c>
      <c r="C42" s="9" t="n">
        <v>218</v>
      </c>
    </row>
    <row r="43" customFormat="false" ht="15" hidden="false" customHeight="false" outlineLevel="0" collapsed="false">
      <c r="A43" s="6" t="s">
        <v>125</v>
      </c>
      <c r="B43" s="7" t="n">
        <v>45992</v>
      </c>
      <c r="C43" s="9" t="n">
        <v>205</v>
      </c>
    </row>
    <row r="44" customFormat="false" ht="15" hidden="false" customHeight="false" outlineLevel="0" collapsed="false">
      <c r="A44" s="6" t="s">
        <v>125</v>
      </c>
      <c r="B44" s="7" t="n">
        <v>46023</v>
      </c>
      <c r="C44" s="9" t="n">
        <v>271</v>
      </c>
    </row>
    <row r="45" customFormat="false" ht="15" hidden="false" customHeight="false" outlineLevel="0" collapsed="false">
      <c r="A45" s="6" t="s">
        <v>125</v>
      </c>
      <c r="B45" s="7" t="n">
        <v>46054</v>
      </c>
      <c r="C45" s="9" t="n">
        <v>241</v>
      </c>
    </row>
    <row r="46" customFormat="false" ht="15" hidden="false" customHeight="false" outlineLevel="0" collapsed="false">
      <c r="A46" s="6" t="s">
        <v>125</v>
      </c>
      <c r="B46" s="7" t="n">
        <v>46082</v>
      </c>
      <c r="C46" s="9" t="n">
        <v>233</v>
      </c>
    </row>
    <row r="47" customFormat="false" ht="15" hidden="false" customHeight="false" outlineLevel="0" collapsed="false">
      <c r="A47" s="6" t="s">
        <v>125</v>
      </c>
      <c r="B47" s="7" t="n">
        <v>46113</v>
      </c>
      <c r="C47" s="9" t="n">
        <v>236</v>
      </c>
    </row>
    <row r="48" customFormat="false" ht="15" hidden="false" customHeight="false" outlineLevel="0" collapsed="false">
      <c r="A48" s="6" t="s">
        <v>125</v>
      </c>
      <c r="B48" s="7" t="n">
        <v>46143</v>
      </c>
      <c r="C48" s="9" t="n">
        <v>251</v>
      </c>
    </row>
    <row r="49" customFormat="false" ht="15" hidden="false" customHeight="false" outlineLevel="0" collapsed="false">
      <c r="A49" s="6" t="s">
        <v>125</v>
      </c>
      <c r="B49" s="7" t="n">
        <v>46174</v>
      </c>
      <c r="C49" s="9" t="n">
        <v>56</v>
      </c>
    </row>
    <row r="50" customFormat="false" ht="15" hidden="false" customHeight="false" outlineLevel="0" collapsed="false">
      <c r="A50" s="6" t="s">
        <v>128</v>
      </c>
      <c r="B50" s="7" t="n">
        <v>45839</v>
      </c>
      <c r="C50" s="9" t="n">
        <v>84</v>
      </c>
    </row>
    <row r="51" customFormat="false" ht="15" hidden="false" customHeight="false" outlineLevel="0" collapsed="false">
      <c r="A51" s="6" t="s">
        <v>128</v>
      </c>
      <c r="B51" s="7" t="n">
        <v>45870</v>
      </c>
      <c r="C51" s="9" t="n">
        <v>63</v>
      </c>
    </row>
    <row r="52" customFormat="false" ht="15" hidden="false" customHeight="false" outlineLevel="0" collapsed="false">
      <c r="A52" s="6" t="s">
        <v>128</v>
      </c>
      <c r="B52" s="7" t="n">
        <v>45901</v>
      </c>
      <c r="C52" s="9" t="n">
        <v>271</v>
      </c>
    </row>
    <row r="53" customFormat="false" ht="15" hidden="false" customHeight="false" outlineLevel="0" collapsed="false">
      <c r="A53" s="6" t="s">
        <v>128</v>
      </c>
      <c r="B53" s="7" t="n">
        <v>45931</v>
      </c>
      <c r="C53" s="9" t="n">
        <v>245</v>
      </c>
    </row>
    <row r="54" customFormat="false" ht="15" hidden="false" customHeight="false" outlineLevel="0" collapsed="false">
      <c r="A54" s="6" t="s">
        <v>128</v>
      </c>
      <c r="B54" s="7" t="n">
        <v>45962</v>
      </c>
      <c r="C54" s="9" t="n">
        <v>175</v>
      </c>
    </row>
    <row r="55" customFormat="false" ht="15" hidden="false" customHeight="false" outlineLevel="0" collapsed="false">
      <c r="A55" s="6" t="s">
        <v>128</v>
      </c>
      <c r="B55" s="7" t="n">
        <v>45992</v>
      </c>
      <c r="C55" s="9" t="n">
        <v>165</v>
      </c>
    </row>
    <row r="56" customFormat="false" ht="15" hidden="false" customHeight="false" outlineLevel="0" collapsed="false">
      <c r="A56" s="6" t="s">
        <v>128</v>
      </c>
      <c r="B56" s="7" t="n">
        <v>46023</v>
      </c>
      <c r="C56" s="9" t="n">
        <v>218</v>
      </c>
    </row>
    <row r="57" customFormat="false" ht="15" hidden="false" customHeight="false" outlineLevel="0" collapsed="false">
      <c r="A57" s="6" t="s">
        <v>128</v>
      </c>
      <c r="B57" s="7" t="n">
        <v>46054</v>
      </c>
      <c r="C57" s="9" t="n">
        <v>194</v>
      </c>
    </row>
    <row r="58" customFormat="false" ht="15" hidden="false" customHeight="false" outlineLevel="0" collapsed="false">
      <c r="A58" s="6" t="s">
        <v>128</v>
      </c>
      <c r="B58" s="7" t="n">
        <v>46082</v>
      </c>
      <c r="C58" s="9" t="n">
        <v>188</v>
      </c>
    </row>
    <row r="59" customFormat="false" ht="15" hidden="false" customHeight="false" outlineLevel="0" collapsed="false">
      <c r="A59" s="6" t="s">
        <v>128</v>
      </c>
      <c r="B59" s="7" t="n">
        <v>46113</v>
      </c>
      <c r="C59" s="9" t="n">
        <v>190</v>
      </c>
    </row>
    <row r="60" customFormat="false" ht="15" hidden="false" customHeight="false" outlineLevel="0" collapsed="false">
      <c r="A60" s="6" t="s">
        <v>128</v>
      </c>
      <c r="B60" s="7" t="n">
        <v>46143</v>
      </c>
      <c r="C60" s="9" t="n">
        <v>202</v>
      </c>
    </row>
    <row r="61" customFormat="false" ht="15" hidden="false" customHeight="false" outlineLevel="0" collapsed="false">
      <c r="A61" s="6" t="s">
        <v>128</v>
      </c>
      <c r="B61" s="7" t="n">
        <v>46174</v>
      </c>
      <c r="C61" s="9" t="n">
        <v>45</v>
      </c>
    </row>
    <row r="62" customFormat="false" ht="15" hidden="false" customHeight="false" outlineLevel="0" collapsed="false">
      <c r="A62" s="6" t="s">
        <v>131</v>
      </c>
      <c r="B62" s="7" t="n">
        <v>45839</v>
      </c>
      <c r="C62" s="9" t="n">
        <v>69</v>
      </c>
    </row>
    <row r="63" customFormat="false" ht="15" hidden="false" customHeight="false" outlineLevel="0" collapsed="false">
      <c r="A63" s="6" t="s">
        <v>131</v>
      </c>
      <c r="B63" s="7" t="n">
        <v>45870</v>
      </c>
      <c r="C63" s="9" t="n">
        <v>52</v>
      </c>
    </row>
    <row r="64" customFormat="false" ht="15" hidden="false" customHeight="false" outlineLevel="0" collapsed="false">
      <c r="A64" s="6" t="s">
        <v>131</v>
      </c>
      <c r="B64" s="7" t="n">
        <v>45901</v>
      </c>
      <c r="C64" s="9" t="n">
        <v>225</v>
      </c>
    </row>
    <row r="65" customFormat="false" ht="15" hidden="false" customHeight="false" outlineLevel="0" collapsed="false">
      <c r="A65" s="6" t="s">
        <v>131</v>
      </c>
      <c r="B65" s="7" t="n">
        <v>45931</v>
      </c>
      <c r="C65" s="9" t="n">
        <v>203</v>
      </c>
    </row>
    <row r="66" customFormat="false" ht="15" hidden="false" customHeight="false" outlineLevel="0" collapsed="false">
      <c r="A66" s="6" t="s">
        <v>131</v>
      </c>
      <c r="B66" s="7" t="n">
        <v>45962</v>
      </c>
      <c r="C66" s="9" t="n">
        <v>145</v>
      </c>
    </row>
    <row r="67" customFormat="false" ht="15" hidden="false" customHeight="false" outlineLevel="0" collapsed="false">
      <c r="A67" s="6" t="s">
        <v>131</v>
      </c>
      <c r="B67" s="7" t="n">
        <v>45992</v>
      </c>
      <c r="C67" s="9" t="n">
        <v>137</v>
      </c>
    </row>
    <row r="68" customFormat="false" ht="15" hidden="false" customHeight="false" outlineLevel="0" collapsed="false">
      <c r="A68" s="6" t="s">
        <v>131</v>
      </c>
      <c r="B68" s="7" t="n">
        <v>46023</v>
      </c>
      <c r="C68" s="9" t="n">
        <v>181</v>
      </c>
    </row>
    <row r="69" customFormat="false" ht="15" hidden="false" customHeight="false" outlineLevel="0" collapsed="false">
      <c r="A69" s="6" t="s">
        <v>131</v>
      </c>
      <c r="B69" s="7" t="n">
        <v>46054</v>
      </c>
      <c r="C69" s="9" t="n">
        <v>161</v>
      </c>
    </row>
    <row r="70" customFormat="false" ht="15" hidden="false" customHeight="false" outlineLevel="0" collapsed="false">
      <c r="A70" s="6" t="s">
        <v>131</v>
      </c>
      <c r="B70" s="7" t="n">
        <v>46082</v>
      </c>
      <c r="C70" s="9" t="n">
        <v>155</v>
      </c>
    </row>
    <row r="71" customFormat="false" ht="15" hidden="false" customHeight="false" outlineLevel="0" collapsed="false">
      <c r="A71" s="6" t="s">
        <v>131</v>
      </c>
      <c r="B71" s="7" t="n">
        <v>46113</v>
      </c>
      <c r="C71" s="9" t="n">
        <v>157</v>
      </c>
    </row>
    <row r="72" customFormat="false" ht="15" hidden="false" customHeight="false" outlineLevel="0" collapsed="false">
      <c r="A72" s="6" t="s">
        <v>131</v>
      </c>
      <c r="B72" s="7" t="n">
        <v>46143</v>
      </c>
      <c r="C72" s="9" t="n">
        <v>167</v>
      </c>
    </row>
    <row r="73" customFormat="false" ht="15" hidden="false" customHeight="false" outlineLevel="0" collapsed="false">
      <c r="A73" s="6" t="s">
        <v>131</v>
      </c>
      <c r="B73" s="7" t="n">
        <v>46174</v>
      </c>
      <c r="C73" s="9" t="n">
        <v>38</v>
      </c>
    </row>
    <row r="74" customFormat="false" ht="15" hidden="false" customHeight="false" outlineLevel="0" collapsed="false">
      <c r="A74" s="6" t="s">
        <v>134</v>
      </c>
      <c r="B74" s="7" t="n">
        <v>45839</v>
      </c>
      <c r="C74" s="9" t="n">
        <v>63</v>
      </c>
    </row>
    <row r="75" customFormat="false" ht="15" hidden="false" customHeight="false" outlineLevel="0" collapsed="false">
      <c r="A75" s="6" t="s">
        <v>134</v>
      </c>
      <c r="B75" s="7" t="n">
        <v>45870</v>
      </c>
      <c r="C75" s="9" t="n">
        <v>48</v>
      </c>
    </row>
    <row r="76" customFormat="false" ht="15" hidden="false" customHeight="false" outlineLevel="0" collapsed="false">
      <c r="A76" s="6" t="s">
        <v>134</v>
      </c>
      <c r="B76" s="7" t="n">
        <v>45901</v>
      </c>
      <c r="C76" s="9" t="n">
        <v>205</v>
      </c>
    </row>
    <row r="77" customFormat="false" ht="15" hidden="false" customHeight="false" outlineLevel="0" collapsed="false">
      <c r="A77" s="6" t="s">
        <v>134</v>
      </c>
      <c r="B77" s="7" t="n">
        <v>45931</v>
      </c>
      <c r="C77" s="9" t="n">
        <v>185</v>
      </c>
    </row>
    <row r="78" customFormat="false" ht="15" hidden="false" customHeight="false" outlineLevel="0" collapsed="false">
      <c r="A78" s="6" t="s">
        <v>134</v>
      </c>
      <c r="B78" s="7" t="n">
        <v>45962</v>
      </c>
      <c r="C78" s="9" t="n">
        <v>133</v>
      </c>
    </row>
    <row r="79" customFormat="false" ht="15" hidden="false" customHeight="false" outlineLevel="0" collapsed="false">
      <c r="A79" s="6" t="s">
        <v>134</v>
      </c>
      <c r="B79" s="7" t="n">
        <v>45992</v>
      </c>
      <c r="C79" s="9" t="n">
        <v>125</v>
      </c>
    </row>
    <row r="80" customFormat="false" ht="15" hidden="false" customHeight="false" outlineLevel="0" collapsed="false">
      <c r="A80" s="6" t="s">
        <v>134</v>
      </c>
      <c r="B80" s="7" t="n">
        <v>46023</v>
      </c>
      <c r="C80" s="9" t="n">
        <v>165</v>
      </c>
    </row>
    <row r="81" customFormat="false" ht="15" hidden="false" customHeight="false" outlineLevel="0" collapsed="false">
      <c r="A81" s="6" t="s">
        <v>134</v>
      </c>
      <c r="B81" s="7" t="n">
        <v>46054</v>
      </c>
      <c r="C81" s="9" t="n">
        <v>147</v>
      </c>
    </row>
    <row r="82" customFormat="false" ht="15" hidden="false" customHeight="false" outlineLevel="0" collapsed="false">
      <c r="A82" s="6" t="s">
        <v>134</v>
      </c>
      <c r="B82" s="7" t="n">
        <v>46082</v>
      </c>
      <c r="C82" s="9" t="n">
        <v>142</v>
      </c>
    </row>
    <row r="83" customFormat="false" ht="15" hidden="false" customHeight="false" outlineLevel="0" collapsed="false">
      <c r="A83" s="6" t="s">
        <v>134</v>
      </c>
      <c r="B83" s="7" t="n">
        <v>46113</v>
      </c>
      <c r="C83" s="9" t="n">
        <v>144</v>
      </c>
    </row>
    <row r="84" customFormat="false" ht="15" hidden="false" customHeight="false" outlineLevel="0" collapsed="false">
      <c r="A84" s="6" t="s">
        <v>134</v>
      </c>
      <c r="B84" s="7" t="n">
        <v>46143</v>
      </c>
      <c r="C84" s="9" t="n">
        <v>153</v>
      </c>
    </row>
    <row r="85" customFormat="false" ht="15" hidden="false" customHeight="false" outlineLevel="0" collapsed="false">
      <c r="A85" s="6" t="s">
        <v>134</v>
      </c>
      <c r="B85" s="7" t="n">
        <v>46174</v>
      </c>
      <c r="C85" s="9" t="n">
        <v>35</v>
      </c>
    </row>
    <row r="86" customFormat="false" ht="15" hidden="false" customHeight="false" outlineLevel="0" collapsed="false">
      <c r="A86" s="6" t="s">
        <v>137</v>
      </c>
      <c r="B86" s="7" t="n">
        <v>45839</v>
      </c>
      <c r="C86" s="9" t="n">
        <v>55</v>
      </c>
    </row>
    <row r="87" customFormat="false" ht="15" hidden="false" customHeight="false" outlineLevel="0" collapsed="false">
      <c r="A87" s="6" t="s">
        <v>137</v>
      </c>
      <c r="B87" s="7" t="n">
        <v>45870</v>
      </c>
      <c r="C87" s="9" t="n">
        <v>41</v>
      </c>
    </row>
    <row r="88" customFormat="false" ht="15" hidden="false" customHeight="false" outlineLevel="0" collapsed="false">
      <c r="A88" s="6" t="s">
        <v>137</v>
      </c>
      <c r="B88" s="7" t="n">
        <v>45901</v>
      </c>
      <c r="C88" s="9" t="n">
        <v>177</v>
      </c>
    </row>
    <row r="89" customFormat="false" ht="15" hidden="false" customHeight="false" outlineLevel="0" collapsed="false">
      <c r="A89" s="6" t="s">
        <v>137</v>
      </c>
      <c r="B89" s="7" t="n">
        <v>45931</v>
      </c>
      <c r="C89" s="9" t="n">
        <v>160</v>
      </c>
    </row>
    <row r="90" customFormat="false" ht="15" hidden="false" customHeight="false" outlineLevel="0" collapsed="false">
      <c r="A90" s="6" t="s">
        <v>137</v>
      </c>
      <c r="B90" s="7" t="n">
        <v>45962</v>
      </c>
      <c r="C90" s="9" t="n">
        <v>114</v>
      </c>
    </row>
    <row r="91" customFormat="false" ht="15" hidden="false" customHeight="false" outlineLevel="0" collapsed="false">
      <c r="A91" s="6" t="s">
        <v>137</v>
      </c>
      <c r="B91" s="7" t="n">
        <v>45992</v>
      </c>
      <c r="C91" s="9" t="n">
        <v>108</v>
      </c>
    </row>
    <row r="92" customFormat="false" ht="15" hidden="false" customHeight="false" outlineLevel="0" collapsed="false">
      <c r="A92" s="6" t="s">
        <v>137</v>
      </c>
      <c r="B92" s="7" t="n">
        <v>46023</v>
      </c>
      <c r="C92" s="9" t="n">
        <v>142</v>
      </c>
    </row>
    <row r="93" customFormat="false" ht="15" hidden="false" customHeight="false" outlineLevel="0" collapsed="false">
      <c r="A93" s="6" t="s">
        <v>137</v>
      </c>
      <c r="B93" s="7" t="n">
        <v>46054</v>
      </c>
      <c r="C93" s="9" t="n">
        <v>126</v>
      </c>
    </row>
    <row r="94" customFormat="false" ht="15" hidden="false" customHeight="false" outlineLevel="0" collapsed="false">
      <c r="A94" s="6" t="s">
        <v>137</v>
      </c>
      <c r="B94" s="7" t="n">
        <v>46082</v>
      </c>
      <c r="C94" s="9" t="n">
        <v>122</v>
      </c>
    </row>
    <row r="95" customFormat="false" ht="15" hidden="false" customHeight="false" outlineLevel="0" collapsed="false">
      <c r="A95" s="6" t="s">
        <v>137</v>
      </c>
      <c r="B95" s="7" t="n">
        <v>46113</v>
      </c>
      <c r="C95" s="9" t="n">
        <v>124</v>
      </c>
    </row>
    <row r="96" customFormat="false" ht="15" hidden="false" customHeight="false" outlineLevel="0" collapsed="false">
      <c r="A96" s="6" t="s">
        <v>137</v>
      </c>
      <c r="B96" s="7" t="n">
        <v>46143</v>
      </c>
      <c r="C96" s="9" t="n">
        <v>132</v>
      </c>
    </row>
    <row r="97" customFormat="false" ht="15" hidden="false" customHeight="false" outlineLevel="0" collapsed="false">
      <c r="A97" s="6" t="s">
        <v>137</v>
      </c>
      <c r="B97" s="7" t="n">
        <v>46174</v>
      </c>
      <c r="C97" s="9" t="n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22"/>
    <col collapsed="false" customWidth="true" hidden="false" outlineLevel="0" max="7" min="7" style="0" width="9"/>
    <col collapsed="false" customWidth="true" hidden="false" outlineLevel="0" max="8" min="8" style="0" width="19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5" t="s">
        <v>105</v>
      </c>
      <c r="B1" s="5" t="s">
        <v>141</v>
      </c>
      <c r="C1" s="5" t="s">
        <v>142</v>
      </c>
      <c r="D1" s="5" t="s">
        <v>37</v>
      </c>
      <c r="E1" s="5" t="s">
        <v>38</v>
      </c>
      <c r="F1" s="5" t="s">
        <v>39</v>
      </c>
      <c r="G1" s="5" t="s">
        <v>143</v>
      </c>
      <c r="H1" s="5" t="s">
        <v>41</v>
      </c>
      <c r="I1" s="5" t="s">
        <v>42</v>
      </c>
    </row>
    <row r="2" customFormat="false" ht="15" hidden="false" customHeight="false" outlineLevel="0" collapsed="false">
      <c r="A2" s="6" t="s">
        <v>116</v>
      </c>
      <c r="B2" s="9" t="n">
        <v>2956</v>
      </c>
      <c r="C2" s="9" t="n">
        <v>2079</v>
      </c>
      <c r="D2" s="9" t="n">
        <v>480</v>
      </c>
      <c r="E2" s="9" t="n">
        <v>-1892</v>
      </c>
      <c r="F2" s="9" t="n">
        <v>-1014</v>
      </c>
      <c r="G2" s="9" t="n">
        <v>-610</v>
      </c>
      <c r="H2" s="9" t="n">
        <v>-441</v>
      </c>
      <c r="I2" s="9" t="n">
        <v>-303</v>
      </c>
    </row>
    <row r="3" customFormat="false" ht="15" hidden="false" customHeight="false" outlineLevel="0" collapsed="false">
      <c r="A3" s="6" t="s">
        <v>119</v>
      </c>
      <c r="B3" s="9" t="n">
        <v>1584</v>
      </c>
      <c r="C3" s="9" t="n">
        <v>1114</v>
      </c>
      <c r="D3" s="9" t="n">
        <v>257</v>
      </c>
      <c r="E3" s="9" t="n">
        <v>-1014</v>
      </c>
      <c r="F3" s="9" t="n">
        <v>-672</v>
      </c>
      <c r="G3" s="9" t="n">
        <v>-340</v>
      </c>
      <c r="H3" s="9" t="n">
        <v>-236</v>
      </c>
      <c r="I3" s="9" t="n">
        <v>-163</v>
      </c>
    </row>
    <row r="4" customFormat="false" ht="15" hidden="false" customHeight="false" outlineLevel="0" collapsed="false">
      <c r="A4" s="6" t="s">
        <v>122</v>
      </c>
      <c r="B4" s="9" t="n">
        <v>1168</v>
      </c>
      <c r="C4" s="9" t="n">
        <v>822</v>
      </c>
      <c r="D4" s="9" t="n">
        <v>190</v>
      </c>
      <c r="E4" s="9" t="n">
        <v>-748</v>
      </c>
      <c r="F4" s="9" t="n">
        <v>-498</v>
      </c>
      <c r="G4" s="9" t="n">
        <v>-295</v>
      </c>
      <c r="H4" s="9" t="n">
        <v>-174</v>
      </c>
      <c r="I4" s="9" t="n">
        <v>-120</v>
      </c>
    </row>
    <row r="5" customFormat="false" ht="15" hidden="false" customHeight="false" outlineLevel="0" collapsed="false">
      <c r="A5" s="6" t="s">
        <v>125</v>
      </c>
      <c r="B5" s="9" t="n">
        <v>1359</v>
      </c>
      <c r="C5" s="9" t="n">
        <v>956</v>
      </c>
      <c r="D5" s="9" t="n">
        <v>220</v>
      </c>
      <c r="E5" s="9" t="n">
        <v>-870</v>
      </c>
      <c r="F5" s="9" t="n">
        <v>-613</v>
      </c>
      <c r="G5" s="9" t="n">
        <v>-285</v>
      </c>
      <c r="H5" s="9" t="n">
        <v>-203</v>
      </c>
      <c r="I5" s="9" t="n">
        <v>-139</v>
      </c>
    </row>
    <row r="6" customFormat="false" ht="15" hidden="false" customHeight="false" outlineLevel="0" collapsed="false">
      <c r="A6" s="6" t="s">
        <v>128</v>
      </c>
      <c r="B6" s="9" t="n">
        <v>1093</v>
      </c>
      <c r="C6" s="9" t="n">
        <v>769</v>
      </c>
      <c r="D6" s="9" t="n">
        <v>178</v>
      </c>
      <c r="E6" s="9" t="n">
        <v>-700</v>
      </c>
      <c r="F6" s="9" t="n">
        <v>-515</v>
      </c>
      <c r="G6" s="9" t="n">
        <v>-250</v>
      </c>
      <c r="H6" s="9" t="n">
        <v>-163</v>
      </c>
      <c r="I6" s="9" t="n">
        <v>-112</v>
      </c>
    </row>
    <row r="7" customFormat="false" ht="15" hidden="false" customHeight="false" outlineLevel="0" collapsed="false">
      <c r="A7" s="6" t="s">
        <v>131</v>
      </c>
      <c r="B7" s="9" t="n">
        <v>906</v>
      </c>
      <c r="C7" s="9" t="n">
        <v>637</v>
      </c>
      <c r="D7" s="9" t="n">
        <v>147</v>
      </c>
      <c r="E7" s="9" t="n">
        <v>-580</v>
      </c>
      <c r="F7" s="9" t="n">
        <v>-457</v>
      </c>
      <c r="G7" s="9" t="n">
        <v>-230</v>
      </c>
      <c r="H7" s="9" t="n">
        <v>-135</v>
      </c>
      <c r="I7" s="9" t="n">
        <v>-93</v>
      </c>
    </row>
    <row r="8" customFormat="false" ht="15" hidden="false" customHeight="false" outlineLevel="0" collapsed="false">
      <c r="A8" s="6" t="s">
        <v>134</v>
      </c>
      <c r="B8" s="9" t="n">
        <v>828</v>
      </c>
      <c r="C8" s="9" t="n">
        <v>582</v>
      </c>
      <c r="D8" s="9" t="n">
        <v>135</v>
      </c>
      <c r="E8" s="9" t="n">
        <v>-530</v>
      </c>
      <c r="F8" s="9" t="n">
        <v>-496</v>
      </c>
      <c r="G8" s="9" t="n">
        <v>-175</v>
      </c>
      <c r="H8" s="9" t="n">
        <v>-124</v>
      </c>
      <c r="I8" s="9" t="n">
        <v>-85</v>
      </c>
    </row>
    <row r="9" customFormat="false" ht="15" hidden="false" customHeight="false" outlineLevel="0" collapsed="false">
      <c r="A9" s="6" t="s">
        <v>137</v>
      </c>
      <c r="B9" s="9" t="n">
        <v>713</v>
      </c>
      <c r="C9" s="9" t="n">
        <v>501</v>
      </c>
      <c r="D9" s="9" t="n">
        <v>116</v>
      </c>
      <c r="E9" s="9" t="n">
        <v>-456</v>
      </c>
      <c r="F9" s="9" t="n">
        <v>-442</v>
      </c>
      <c r="G9" s="9" t="n">
        <v>-168</v>
      </c>
      <c r="H9" s="9" t="n">
        <v>-106</v>
      </c>
      <c r="I9" s="9" t="n">
        <v>-73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2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5" t="s">
        <v>144</v>
      </c>
      <c r="B1" s="5" t="s">
        <v>23</v>
      </c>
      <c r="C1" s="5" t="s">
        <v>140</v>
      </c>
      <c r="D1" s="5" t="s">
        <v>145</v>
      </c>
      <c r="E1" s="5" t="s">
        <v>146</v>
      </c>
    </row>
    <row r="2" customFormat="false" ht="15" hidden="false" customHeight="false" outlineLevel="0" collapsed="false">
      <c r="A2" s="6" t="s">
        <v>147</v>
      </c>
      <c r="B2" s="7" t="n">
        <v>46204</v>
      </c>
      <c r="C2" s="9" t="n">
        <v>820</v>
      </c>
      <c r="D2" s="9" t="n">
        <v>-160</v>
      </c>
      <c r="E2" s="10" t="n">
        <v>2.4</v>
      </c>
    </row>
    <row r="3" customFormat="false" ht="15" hidden="false" customHeight="false" outlineLevel="0" collapsed="false">
      <c r="A3" s="6" t="s">
        <v>147</v>
      </c>
      <c r="B3" s="7" t="n">
        <v>46235</v>
      </c>
      <c r="C3" s="9" t="n">
        <v>610</v>
      </c>
      <c r="D3" s="9" t="n">
        <v>-280</v>
      </c>
      <c r="E3" s="10" t="n">
        <v>1.9</v>
      </c>
    </row>
    <row r="4" customFormat="false" ht="15" hidden="false" customHeight="false" outlineLevel="0" collapsed="false">
      <c r="A4" s="6" t="s">
        <v>147</v>
      </c>
      <c r="B4" s="7" t="n">
        <v>46266</v>
      </c>
      <c r="C4" s="9" t="n">
        <v>2680</v>
      </c>
      <c r="D4" s="9" t="n">
        <v>780</v>
      </c>
      <c r="E4" s="10" t="n">
        <v>2.6</v>
      </c>
    </row>
    <row r="5" customFormat="false" ht="15" hidden="false" customHeight="false" outlineLevel="0" collapsed="false">
      <c r="A5" s="6" t="s">
        <v>147</v>
      </c>
      <c r="B5" s="7" t="n">
        <v>46296</v>
      </c>
      <c r="C5" s="9" t="n">
        <v>2390</v>
      </c>
      <c r="D5" s="9" t="n">
        <v>560</v>
      </c>
      <c r="E5" s="10" t="n">
        <v>3.4</v>
      </c>
    </row>
    <row r="6" customFormat="false" ht="15" hidden="false" customHeight="false" outlineLevel="0" collapsed="false">
      <c r="A6" s="6" t="s">
        <v>147</v>
      </c>
      <c r="B6" s="7" t="n">
        <v>46327</v>
      </c>
      <c r="C6" s="9" t="n">
        <v>1710</v>
      </c>
      <c r="D6" s="9" t="n">
        <v>240</v>
      </c>
      <c r="E6" s="10" t="n">
        <v>2.9</v>
      </c>
    </row>
    <row r="7" customFormat="false" ht="15" hidden="false" customHeight="false" outlineLevel="0" collapsed="false">
      <c r="A7" s="6" t="s">
        <v>147</v>
      </c>
      <c r="B7" s="7" t="n">
        <v>46357</v>
      </c>
      <c r="C7" s="9" t="n">
        <v>1620</v>
      </c>
      <c r="D7" s="9" t="n">
        <v>190</v>
      </c>
      <c r="E7" s="10" t="n">
        <v>3.3</v>
      </c>
    </row>
    <row r="8" customFormat="false" ht="15" hidden="false" customHeight="false" outlineLevel="0" collapsed="false">
      <c r="A8" s="6" t="s">
        <v>147</v>
      </c>
      <c r="B8" s="7" t="n">
        <v>46388</v>
      </c>
      <c r="C8" s="9" t="n">
        <v>2140</v>
      </c>
      <c r="D8" s="9" t="n">
        <v>420</v>
      </c>
      <c r="E8" s="10" t="n">
        <v>4.1</v>
      </c>
    </row>
    <row r="9" customFormat="false" ht="15" hidden="false" customHeight="false" outlineLevel="0" collapsed="false">
      <c r="A9" s="6" t="s">
        <v>147</v>
      </c>
      <c r="B9" s="7" t="n">
        <v>46419</v>
      </c>
      <c r="C9" s="9" t="n">
        <v>1900</v>
      </c>
      <c r="D9" s="9" t="n">
        <v>310</v>
      </c>
      <c r="E9" s="10" t="n">
        <v>4.3</v>
      </c>
    </row>
    <row r="10" customFormat="false" ht="15" hidden="false" customHeight="false" outlineLevel="0" collapsed="false">
      <c r="A10" s="6" t="s">
        <v>147</v>
      </c>
      <c r="B10" s="7" t="n">
        <v>46447</v>
      </c>
      <c r="C10" s="9" t="n">
        <v>1830</v>
      </c>
      <c r="D10" s="9" t="n">
        <v>280</v>
      </c>
      <c r="E10" s="10" t="n">
        <v>4.4</v>
      </c>
    </row>
    <row r="11" customFormat="false" ht="15" hidden="false" customHeight="false" outlineLevel="0" collapsed="false">
      <c r="A11" s="6" t="s">
        <v>147</v>
      </c>
      <c r="B11" s="7" t="n">
        <v>46478</v>
      </c>
      <c r="C11" s="9" t="n">
        <v>1860</v>
      </c>
      <c r="D11" s="9" t="n">
        <v>300</v>
      </c>
      <c r="E11" s="10" t="n">
        <v>4.6</v>
      </c>
    </row>
    <row r="12" customFormat="false" ht="15" hidden="false" customHeight="false" outlineLevel="0" collapsed="false">
      <c r="A12" s="6" t="s">
        <v>147</v>
      </c>
      <c r="B12" s="7" t="n">
        <v>46508</v>
      </c>
      <c r="C12" s="9" t="n">
        <v>1980</v>
      </c>
      <c r="D12" s="9" t="n">
        <v>340</v>
      </c>
      <c r="E12" s="10" t="n">
        <v>4.9</v>
      </c>
    </row>
    <row r="13" customFormat="false" ht="15" hidden="false" customHeight="false" outlineLevel="0" collapsed="false">
      <c r="A13" s="6" t="s">
        <v>147</v>
      </c>
      <c r="B13" s="7" t="n">
        <v>46539</v>
      </c>
      <c r="C13" s="9" t="n">
        <v>1850</v>
      </c>
      <c r="D13" s="9" t="n">
        <v>290</v>
      </c>
      <c r="E13" s="10" t="n">
        <v>5</v>
      </c>
    </row>
    <row r="14" customFormat="false" ht="15" hidden="false" customHeight="false" outlineLevel="0" collapsed="false">
      <c r="A14" s="6" t="s">
        <v>148</v>
      </c>
      <c r="B14" s="7" t="n">
        <v>46204</v>
      </c>
      <c r="C14" s="9" t="n">
        <v>820</v>
      </c>
      <c r="D14" s="9" t="n">
        <v>-160</v>
      </c>
      <c r="E14" s="10" t="n">
        <v>2.4</v>
      </c>
    </row>
    <row r="15" customFormat="false" ht="15" hidden="false" customHeight="false" outlineLevel="0" collapsed="false">
      <c r="A15" s="6" t="s">
        <v>148</v>
      </c>
      <c r="B15" s="7" t="n">
        <v>46235</v>
      </c>
      <c r="C15" s="9" t="n">
        <v>610</v>
      </c>
      <c r="D15" s="9" t="n">
        <v>-280</v>
      </c>
      <c r="E15" s="10" t="n">
        <v>1.9</v>
      </c>
    </row>
    <row r="16" customFormat="false" ht="15" hidden="false" customHeight="false" outlineLevel="0" collapsed="false">
      <c r="A16" s="6" t="s">
        <v>148</v>
      </c>
      <c r="B16" s="7" t="n">
        <v>46266</v>
      </c>
      <c r="C16" s="9" t="n">
        <v>2410</v>
      </c>
      <c r="D16" s="9" t="n">
        <v>590</v>
      </c>
      <c r="E16" s="10" t="n">
        <v>2.3</v>
      </c>
    </row>
    <row r="17" customFormat="false" ht="15" hidden="false" customHeight="false" outlineLevel="0" collapsed="false">
      <c r="A17" s="6" t="s">
        <v>148</v>
      </c>
      <c r="B17" s="7" t="n">
        <v>46296</v>
      </c>
      <c r="C17" s="9" t="n">
        <v>2150</v>
      </c>
      <c r="D17" s="9" t="n">
        <v>400</v>
      </c>
      <c r="E17" s="10" t="n">
        <v>2.9</v>
      </c>
    </row>
    <row r="18" customFormat="false" ht="15" hidden="false" customHeight="false" outlineLevel="0" collapsed="false">
      <c r="A18" s="6" t="s">
        <v>148</v>
      </c>
      <c r="B18" s="7" t="n">
        <v>46327</v>
      </c>
      <c r="C18" s="9" t="n">
        <v>1540</v>
      </c>
      <c r="D18" s="9" t="n">
        <v>120</v>
      </c>
      <c r="E18" s="10" t="n">
        <v>2.4</v>
      </c>
    </row>
    <row r="19" customFormat="false" ht="15" hidden="false" customHeight="false" outlineLevel="0" collapsed="false">
      <c r="A19" s="6" t="s">
        <v>148</v>
      </c>
      <c r="B19" s="7" t="n">
        <v>46357</v>
      </c>
      <c r="C19" s="9" t="n">
        <v>1460</v>
      </c>
      <c r="D19" s="9" t="n">
        <v>80</v>
      </c>
      <c r="E19" s="10" t="n">
        <v>2.7</v>
      </c>
    </row>
    <row r="20" customFormat="false" ht="15" hidden="false" customHeight="false" outlineLevel="0" collapsed="false">
      <c r="A20" s="6" t="s">
        <v>148</v>
      </c>
      <c r="B20" s="7" t="n">
        <v>46388</v>
      </c>
      <c r="C20" s="9" t="n">
        <v>1930</v>
      </c>
      <c r="D20" s="9" t="n">
        <v>290</v>
      </c>
      <c r="E20" s="10" t="n">
        <v>3.1</v>
      </c>
    </row>
    <row r="21" customFormat="false" ht="15" hidden="false" customHeight="false" outlineLevel="0" collapsed="false">
      <c r="A21" s="6" t="s">
        <v>148</v>
      </c>
      <c r="B21" s="7" t="n">
        <v>46419</v>
      </c>
      <c r="C21" s="9" t="n">
        <v>1710</v>
      </c>
      <c r="D21" s="9" t="n">
        <v>190</v>
      </c>
      <c r="E21" s="10" t="n">
        <v>3.2</v>
      </c>
    </row>
    <row r="22" customFormat="false" ht="15" hidden="false" customHeight="false" outlineLevel="0" collapsed="false">
      <c r="A22" s="6" t="s">
        <v>148</v>
      </c>
      <c r="B22" s="7" t="n">
        <v>46447</v>
      </c>
      <c r="C22" s="9" t="n">
        <v>1650</v>
      </c>
      <c r="D22" s="9" t="n">
        <v>170</v>
      </c>
      <c r="E22" s="10" t="n">
        <v>3.2</v>
      </c>
    </row>
    <row r="23" customFormat="false" ht="15" hidden="false" customHeight="false" outlineLevel="0" collapsed="false">
      <c r="A23" s="6" t="s">
        <v>148</v>
      </c>
      <c r="B23" s="7" t="n">
        <v>46478</v>
      </c>
      <c r="C23" s="9" t="n">
        <v>1670</v>
      </c>
      <c r="D23" s="9" t="n">
        <v>180</v>
      </c>
      <c r="E23" s="10" t="n">
        <v>3.3</v>
      </c>
    </row>
    <row r="24" customFormat="false" ht="15" hidden="false" customHeight="false" outlineLevel="0" collapsed="false">
      <c r="A24" s="6" t="s">
        <v>148</v>
      </c>
      <c r="B24" s="7" t="n">
        <v>46508</v>
      </c>
      <c r="C24" s="9" t="n">
        <v>1780</v>
      </c>
      <c r="D24" s="9" t="n">
        <v>220</v>
      </c>
      <c r="E24" s="10" t="n">
        <v>3.5</v>
      </c>
    </row>
    <row r="25" customFormat="false" ht="15" hidden="false" customHeight="false" outlineLevel="0" collapsed="false">
      <c r="A25" s="6" t="s">
        <v>148</v>
      </c>
      <c r="B25" s="7" t="n">
        <v>46539</v>
      </c>
      <c r="C25" s="9" t="n">
        <v>1670</v>
      </c>
      <c r="D25" s="9" t="n">
        <v>180</v>
      </c>
      <c r="E25" s="10" t="n">
        <v>3.5</v>
      </c>
    </row>
    <row r="26" customFormat="false" ht="15" hidden="false" customHeight="false" outlineLevel="0" collapsed="false">
      <c r="A26" s="6" t="s">
        <v>149</v>
      </c>
      <c r="B26" s="7" t="n">
        <v>46204</v>
      </c>
      <c r="C26" s="9" t="n">
        <v>820</v>
      </c>
      <c r="D26" s="9" t="n">
        <v>-160</v>
      </c>
      <c r="E26" s="10" t="n">
        <v>2.4</v>
      </c>
    </row>
    <row r="27" customFormat="false" ht="15" hidden="false" customHeight="false" outlineLevel="0" collapsed="false">
      <c r="A27" s="6" t="s">
        <v>149</v>
      </c>
      <c r="B27" s="7" t="n">
        <v>46235</v>
      </c>
      <c r="C27" s="9" t="n">
        <v>610</v>
      </c>
      <c r="D27" s="9" t="n">
        <v>-280</v>
      </c>
      <c r="E27" s="10" t="n">
        <v>1.9</v>
      </c>
    </row>
    <row r="28" customFormat="false" ht="15" hidden="false" customHeight="false" outlineLevel="0" collapsed="false">
      <c r="A28" s="6" t="s">
        <v>149</v>
      </c>
      <c r="B28" s="7" t="n">
        <v>46266</v>
      </c>
      <c r="C28" s="9" t="n">
        <v>2950</v>
      </c>
      <c r="D28" s="9" t="n">
        <v>970</v>
      </c>
      <c r="E28" s="10" t="n">
        <v>2.9</v>
      </c>
    </row>
    <row r="29" customFormat="false" ht="15" hidden="false" customHeight="false" outlineLevel="0" collapsed="false">
      <c r="A29" s="6" t="s">
        <v>149</v>
      </c>
      <c r="B29" s="7" t="n">
        <v>46296</v>
      </c>
      <c r="C29" s="9" t="n">
        <v>2630</v>
      </c>
      <c r="D29" s="9" t="n">
        <v>720</v>
      </c>
      <c r="E29" s="10" t="n">
        <v>3.9</v>
      </c>
    </row>
    <row r="30" customFormat="false" ht="15" hidden="false" customHeight="false" outlineLevel="0" collapsed="false">
      <c r="A30" s="6" t="s">
        <v>149</v>
      </c>
      <c r="B30" s="7" t="n">
        <v>46327</v>
      </c>
      <c r="C30" s="9" t="n">
        <v>1880</v>
      </c>
      <c r="D30" s="9" t="n">
        <v>360</v>
      </c>
      <c r="E30" s="10" t="n">
        <v>3.4</v>
      </c>
    </row>
    <row r="31" customFormat="false" ht="15" hidden="false" customHeight="false" outlineLevel="0" collapsed="false">
      <c r="A31" s="6" t="s">
        <v>149</v>
      </c>
      <c r="B31" s="7" t="n">
        <v>46357</v>
      </c>
      <c r="C31" s="9" t="n">
        <v>1780</v>
      </c>
      <c r="D31" s="9" t="n">
        <v>300</v>
      </c>
      <c r="E31" s="10" t="n">
        <v>3.9</v>
      </c>
    </row>
    <row r="32" customFormat="false" ht="15" hidden="false" customHeight="false" outlineLevel="0" collapsed="false">
      <c r="A32" s="6" t="s">
        <v>149</v>
      </c>
      <c r="B32" s="7" t="n">
        <v>46388</v>
      </c>
      <c r="C32" s="9" t="n">
        <v>2350</v>
      </c>
      <c r="D32" s="9" t="n">
        <v>550</v>
      </c>
      <c r="E32" s="10" t="n">
        <v>5.1</v>
      </c>
    </row>
    <row r="33" customFormat="false" ht="15" hidden="false" customHeight="false" outlineLevel="0" collapsed="false">
      <c r="A33" s="6" t="s">
        <v>149</v>
      </c>
      <c r="B33" s="7" t="n">
        <v>46419</v>
      </c>
      <c r="C33" s="9" t="n">
        <v>2090</v>
      </c>
      <c r="D33" s="9" t="n">
        <v>430</v>
      </c>
      <c r="E33" s="10" t="n">
        <v>5.5</v>
      </c>
    </row>
    <row r="34" customFormat="false" ht="15" hidden="false" customHeight="false" outlineLevel="0" collapsed="false">
      <c r="A34" s="6" t="s">
        <v>149</v>
      </c>
      <c r="B34" s="7" t="n">
        <v>46447</v>
      </c>
      <c r="C34" s="9" t="n">
        <v>2010</v>
      </c>
      <c r="D34" s="9" t="n">
        <v>390</v>
      </c>
      <c r="E34" s="10" t="n">
        <v>5.7</v>
      </c>
    </row>
    <row r="35" customFormat="false" ht="15" hidden="false" customHeight="false" outlineLevel="0" collapsed="false">
      <c r="A35" s="6" t="s">
        <v>149</v>
      </c>
      <c r="B35" s="7" t="n">
        <v>46478</v>
      </c>
      <c r="C35" s="9" t="n">
        <v>2050</v>
      </c>
      <c r="D35" s="9" t="n">
        <v>420</v>
      </c>
      <c r="E35" s="10" t="n">
        <v>6</v>
      </c>
    </row>
    <row r="36" customFormat="false" ht="15" hidden="false" customHeight="false" outlineLevel="0" collapsed="false">
      <c r="A36" s="6" t="s">
        <v>149</v>
      </c>
      <c r="B36" s="7" t="n">
        <v>46508</v>
      </c>
      <c r="C36" s="9" t="n">
        <v>2180</v>
      </c>
      <c r="D36" s="9" t="n">
        <v>460</v>
      </c>
      <c r="E36" s="10" t="n">
        <v>6.4</v>
      </c>
    </row>
    <row r="37" customFormat="false" ht="15" hidden="false" customHeight="false" outlineLevel="0" collapsed="false">
      <c r="A37" s="6" t="s">
        <v>149</v>
      </c>
      <c r="B37" s="7" t="n">
        <v>46539</v>
      </c>
      <c r="C37" s="9" t="n">
        <v>2040</v>
      </c>
      <c r="D37" s="9" t="n">
        <v>400</v>
      </c>
      <c r="E37" s="10" t="n">
        <v>6.6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66"/>
  </cols>
  <sheetData>
    <row r="1" customFormat="false" ht="15" hidden="false" customHeight="false" outlineLevel="0" collapsed="false">
      <c r="A1" s="5" t="s">
        <v>144</v>
      </c>
      <c r="B1" s="5" t="s">
        <v>150</v>
      </c>
      <c r="C1" s="5" t="s">
        <v>151</v>
      </c>
    </row>
    <row r="2" customFormat="false" ht="15" hidden="false" customHeight="false" outlineLevel="0" collapsed="false">
      <c r="A2" s="6" t="s">
        <v>147</v>
      </c>
      <c r="B2" s="11" t="n">
        <v>1</v>
      </c>
      <c r="C2" s="6" t="s">
        <v>152</v>
      </c>
    </row>
    <row r="3" customFormat="false" ht="15" hidden="false" customHeight="false" outlineLevel="0" collapsed="false">
      <c r="A3" s="6" t="s">
        <v>147</v>
      </c>
      <c r="B3" s="11" t="n">
        <v>2</v>
      </c>
      <c r="C3" s="6" t="s">
        <v>153</v>
      </c>
    </row>
    <row r="4" customFormat="false" ht="15" hidden="false" customHeight="false" outlineLevel="0" collapsed="false">
      <c r="A4" s="6" t="s">
        <v>147</v>
      </c>
      <c r="B4" s="11" t="n">
        <v>3</v>
      </c>
      <c r="C4" s="6" t="s">
        <v>154</v>
      </c>
    </row>
    <row r="5" customFormat="false" ht="15" hidden="false" customHeight="false" outlineLevel="0" collapsed="false">
      <c r="A5" s="6" t="s">
        <v>147</v>
      </c>
      <c r="B5" s="11" t="n">
        <v>4</v>
      </c>
      <c r="C5" s="6" t="s">
        <v>155</v>
      </c>
    </row>
    <row r="6" customFormat="false" ht="15" hidden="false" customHeight="false" outlineLevel="0" collapsed="false">
      <c r="A6" s="6" t="s">
        <v>147</v>
      </c>
      <c r="B6" s="11" t="n">
        <v>5</v>
      </c>
      <c r="C6" s="6" t="s">
        <v>156</v>
      </c>
    </row>
    <row r="7" customFormat="false" ht="15" hidden="false" customHeight="false" outlineLevel="0" collapsed="false">
      <c r="A7" s="6" t="s">
        <v>148</v>
      </c>
      <c r="B7" s="11" t="n">
        <v>1</v>
      </c>
      <c r="C7" s="6" t="s">
        <v>157</v>
      </c>
    </row>
    <row r="8" customFormat="false" ht="15" hidden="false" customHeight="false" outlineLevel="0" collapsed="false">
      <c r="A8" s="6" t="s">
        <v>148</v>
      </c>
      <c r="B8" s="11" t="n">
        <v>2</v>
      </c>
      <c r="C8" s="6" t="s">
        <v>153</v>
      </c>
    </row>
    <row r="9" customFormat="false" ht="15" hidden="false" customHeight="false" outlineLevel="0" collapsed="false">
      <c r="A9" s="6" t="s">
        <v>148</v>
      </c>
      <c r="B9" s="11" t="n">
        <v>3</v>
      </c>
      <c r="C9" s="6" t="s">
        <v>158</v>
      </c>
    </row>
    <row r="10" customFormat="false" ht="15" hidden="false" customHeight="false" outlineLevel="0" collapsed="false">
      <c r="A10" s="6" t="s">
        <v>148</v>
      </c>
      <c r="B10" s="11" t="n">
        <v>4</v>
      </c>
      <c r="C10" s="6" t="s">
        <v>159</v>
      </c>
    </row>
    <row r="11" customFormat="false" ht="15" hidden="false" customHeight="false" outlineLevel="0" collapsed="false">
      <c r="A11" s="6" t="s">
        <v>148</v>
      </c>
      <c r="B11" s="11" t="n">
        <v>5</v>
      </c>
      <c r="C11" s="6" t="s">
        <v>160</v>
      </c>
    </row>
    <row r="12" customFormat="false" ht="15" hidden="false" customHeight="false" outlineLevel="0" collapsed="false">
      <c r="A12" s="6" t="s">
        <v>149</v>
      </c>
      <c r="B12" s="11" t="n">
        <v>1</v>
      </c>
      <c r="C12" s="6" t="s">
        <v>161</v>
      </c>
    </row>
    <row r="13" customFormat="false" ht="15" hidden="false" customHeight="false" outlineLevel="0" collapsed="false">
      <c r="A13" s="6" t="s">
        <v>149</v>
      </c>
      <c r="B13" s="11" t="n">
        <v>2</v>
      </c>
      <c r="C13" s="6" t="s">
        <v>153</v>
      </c>
    </row>
    <row r="14" customFormat="false" ht="15" hidden="false" customHeight="false" outlineLevel="0" collapsed="false">
      <c r="A14" s="6" t="s">
        <v>149</v>
      </c>
      <c r="B14" s="11" t="n">
        <v>3</v>
      </c>
      <c r="C14" s="6" t="s">
        <v>154</v>
      </c>
    </row>
    <row r="15" customFormat="false" ht="15" hidden="false" customHeight="false" outlineLevel="0" collapsed="false">
      <c r="A15" s="6" t="s">
        <v>149</v>
      </c>
      <c r="B15" s="11" t="n">
        <v>4</v>
      </c>
      <c r="C15" s="6" t="s">
        <v>162</v>
      </c>
    </row>
    <row r="16" customFormat="false" ht="15" hidden="false" customHeight="false" outlineLevel="0" collapsed="false">
      <c r="A16" s="6" t="s">
        <v>149</v>
      </c>
      <c r="B16" s="11" t="n">
        <v>5</v>
      </c>
      <c r="C16" s="6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68"/>
  </cols>
  <sheetData>
    <row r="1" customFormat="false" ht="15" hidden="false" customHeight="false" outlineLevel="0" collapsed="false">
      <c r="A1" s="5" t="s">
        <v>163</v>
      </c>
      <c r="B1" s="5" t="s">
        <v>23</v>
      </c>
      <c r="C1" s="5" t="s">
        <v>151</v>
      </c>
    </row>
    <row r="2" customFormat="false" ht="15" hidden="false" customHeight="false" outlineLevel="0" collapsed="false">
      <c r="A2" s="11" t="n">
        <v>1</v>
      </c>
      <c r="B2" s="7" t="n">
        <v>46235</v>
      </c>
      <c r="C2" s="6" t="s">
        <v>164</v>
      </c>
    </row>
    <row r="3" customFormat="false" ht="15" hidden="false" customHeight="false" outlineLevel="0" collapsed="false">
      <c r="A3" s="11" t="n">
        <v>2</v>
      </c>
      <c r="B3" s="7" t="n">
        <v>46296</v>
      </c>
      <c r="C3" s="6" t="s">
        <v>165</v>
      </c>
    </row>
    <row r="4" customFormat="false" ht="15" hidden="false" customHeight="false" outlineLevel="0" collapsed="false">
      <c r="A4" s="11" t="n">
        <v>3</v>
      </c>
      <c r="B4" s="7" t="n">
        <v>46327</v>
      </c>
      <c r="C4" s="6" t="s">
        <v>166</v>
      </c>
    </row>
    <row r="5" customFormat="false" ht="15" hidden="false" customHeight="false" outlineLevel="0" collapsed="false">
      <c r="A5" s="11" t="n">
        <v>4</v>
      </c>
      <c r="B5" s="7" t="n">
        <v>46388</v>
      </c>
      <c r="C5" s="6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2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13" t="s">
        <v>168</v>
      </c>
      <c r="B1" s="13" t="s">
        <v>169</v>
      </c>
      <c r="C1" s="13" t="s">
        <v>170</v>
      </c>
      <c r="D1" s="13" t="s">
        <v>171</v>
      </c>
      <c r="E1" s="13" t="s">
        <v>172</v>
      </c>
    </row>
    <row r="2" customFormat="false" ht="15" hidden="false" customHeight="false" outlineLevel="0" collapsed="false">
      <c r="A2" s="3" t="s">
        <v>173</v>
      </c>
      <c r="B2" s="14" t="n">
        <f aca="false">SUM(mensuel_groupe!B14:B25)</f>
        <v>19790</v>
      </c>
      <c r="C2" s="14" t="n">
        <f aca="false">SUM(pnl_ltm!B2:B4)</f>
        <v>19790</v>
      </c>
      <c r="D2" s="14" t="n">
        <f aca="false">B2-C2</f>
        <v>0</v>
      </c>
      <c r="E2" s="2" t="str">
        <f aca="false">IF(ABS(D2)&lt;=1,"OK","ÉCART")</f>
        <v>OK</v>
      </c>
    </row>
    <row r="3" customFormat="false" ht="15" hidden="false" customHeight="false" outlineLevel="0" collapsed="false">
      <c r="A3" s="3" t="s">
        <v>174</v>
      </c>
      <c r="B3" s="14" t="n">
        <f aca="false">SUM(mensuel_groupe!B14:B25)</f>
        <v>19790</v>
      </c>
      <c r="C3" s="14" t="n">
        <f aca="false">SUM(campus_pnl!B2:D9)</f>
        <v>19790</v>
      </c>
      <c r="D3" s="14" t="n">
        <f aca="false">B3-C3</f>
        <v>0</v>
      </c>
      <c r="E3" s="2" t="str">
        <f aca="false">IF(ABS(D3)&lt;=1,"OK","ÉCART")</f>
        <v>OK</v>
      </c>
    </row>
    <row r="4" customFormat="false" ht="15" hidden="false" customHeight="false" outlineLevel="0" collapsed="false">
      <c r="A4" s="3" t="s">
        <v>175</v>
      </c>
      <c r="B4" s="14" t="n">
        <f aca="false">SUM(mensuel_groupe!D14:D25)</f>
        <v>3270</v>
      </c>
      <c r="C4" s="14" t="n">
        <f aca="false">SUM(pnl_ltm!B2:B9)</f>
        <v>3270</v>
      </c>
      <c r="D4" s="14" t="n">
        <f aca="false">B4-C4</f>
        <v>0</v>
      </c>
      <c r="E4" s="2" t="str">
        <f aca="false">IF(ABS(D4)&lt;=1,"OK","ÉCART")</f>
        <v>OK</v>
      </c>
    </row>
    <row r="5" customFormat="false" ht="15" hidden="false" customHeight="false" outlineLevel="0" collapsed="false">
      <c r="A5" s="3" t="s">
        <v>176</v>
      </c>
      <c r="B5" s="14" t="n">
        <f aca="false">SUM(mensuel_groupe!D14:D25)</f>
        <v>3270</v>
      </c>
      <c r="C5" s="14" t="n">
        <f aca="false">SUM(campus_pnl!B2:I9)</f>
        <v>3270</v>
      </c>
      <c r="D5" s="14" t="n">
        <f aca="false">B5-C5</f>
        <v>0</v>
      </c>
      <c r="E5" s="2" t="str">
        <f aca="false">IF(ABS(D5)&lt;=1,"OK","ÉCART")</f>
        <v>OK</v>
      </c>
    </row>
    <row r="6" customFormat="false" ht="15" hidden="false" customHeight="false" outlineLevel="0" collapsed="false">
      <c r="A6" s="3" t="s">
        <v>177</v>
      </c>
      <c r="B6" s="14" t="n">
        <f aca="false">SUM(campus!E2:E9)</f>
        <v>2810</v>
      </c>
      <c r="C6" s="14" t="n">
        <f aca="false">SUM(filieres_groupe!B2:B9)</f>
        <v>2810</v>
      </c>
      <c r="D6" s="14" t="n">
        <f aca="false">B6-C6</f>
        <v>0</v>
      </c>
      <c r="E6" s="2" t="str">
        <f aca="false">IF(ABS(D6)&lt;=1,"OK","ÉCART")</f>
        <v>OK</v>
      </c>
    </row>
    <row r="7" customFormat="false" ht="15" hidden="false" customHeight="false" outlineLevel="0" collapsed="false">
      <c r="A7" s="3" t="s">
        <v>178</v>
      </c>
      <c r="B7" s="14" t="n">
        <f aca="false">SUM(campus_pnl!B2:D9)</f>
        <v>19790</v>
      </c>
      <c r="C7" s="14" t="n">
        <f aca="false">SUM(campus_mensuel!C2:C97)</f>
        <v>19790</v>
      </c>
      <c r="D7" s="14" t="n">
        <f aca="false">B7-C7</f>
        <v>0</v>
      </c>
      <c r="E7" s="2" t="str">
        <f aca="false">IF(ABS(D7)&lt;=1,"OK","ÉCART")</f>
        <v>OK</v>
      </c>
    </row>
    <row r="9" customFormat="false" ht="15" hidden="false" customHeight="false" outlineLevel="0" collapsed="false">
      <c r="A9" s="4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2026-07-16T14:07:14Z</dcterms:created>
  <dc:creator>openpyxl</dc:creator>
  <dc:description/>
  <dc:language>en-US</dc:language>
  <cp:lastModifiedBy/>
  <dcterms:modified xsi:type="dcterms:W3CDTF">2026-07-16T14:07:14Z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